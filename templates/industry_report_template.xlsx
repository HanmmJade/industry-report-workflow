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5.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docProps/app.xml" ContentType="application/vnd.openxmlformats-officedocument.extended-properties+xml"/>
  <Override PartName="/xl/worksheets/sheet3.xml" ContentType="application/vnd.openxmlformats-officedocument.spreadsheetml.worksheet+xml"/>
  <Override PartName="/xl/workbook.xml" ContentType="application/vnd.openxmlformats-officedocument.spreadsheetml.sheet.main+xml"/>
  <Override PartName="/docProps/core.xml" ContentType="application/vnd.openxmlformats-package.core-properties+xml"/>
  <Override PartName="/xl/worksheets/sheet7.xml" ContentType="application/vnd.openxmlformats-officedocument.spreadsheetml.worksheet+xml"/>
  <Override PartName="/xl/worksheets/sheet4.xml" ContentType="application/vnd.openxmlformats-officedocument.spreadsheetml.worksheet+xml"/>
  <Override PartName="/xl/worksheets/sheet6.xml" ContentType="application/vnd.openxmlformats-officedocument.spreadsheetml.worksheet+xml"/>
</Types>
</file>

<file path=_rels/.rels><?xml version="1.0" encoding="UTF-8" standalone="yes"?><Relationships xmlns="http://schemas.openxmlformats.org/package/2006/relationships"><Relationship Id="rId0" Type="http://schemas.openxmlformats.org/officeDocument/2006/relationships/officeDocument" Target="xl/workbook.xml" /><Relationship Id="rId2" Type="http://schemas.openxmlformats.org/officeDocument/2006/relationships/extended-properties" Target="docProps/app.xml" /><Relationship Id="rId1" Type="http://schemas.openxmlformats.org/package/2006/relationships/metadata/core-properties" Target="docProps/core.xml" /></Relationships>
</file>

<file path=xl/workbook.xml><?xml version="1.0" encoding="utf-8"?>
<workbook xmlns:x15ac="http://schemas.microsoft.com/office/spreadsheetml/2010/11/ac" xmlns="http://schemas.openxmlformats.org/spreadsheetml/2006/main" xmlns:r="http://schemas.openxmlformats.org/officeDocument/2006/relationships" xmlns:mc="http://schemas.openxmlformats.org/markup-compatibility/2006" mc:Ignorable="x15ac">
  <workbookPr/>
  <x15ac:absPath url="C:\Users\wangzhelun\Desktop\行业月报\"/>
  <bookViews>
    <workbookView activeTab="0"/>
  </bookViews>
  <sheets>
    <sheet name="行业数据 " sheetId="1" r:id="rId3"/>
    <sheet name="投资事件" sheetId="2" r:id="rId4"/>
    <sheet name="竞争对手最新动态" sheetId="3" r:id="rId5"/>
    <sheet name="激光行业资讯" sheetId="4" r:id="rId6"/>
    <sheet name="激光切割机&amp;折弯机上市公司情况" sheetId="5" r:id="rId7"/>
    <sheet name="新三板激光公司" sheetId="6" r:id="rId8"/>
    <sheet name="光伏设备上市公司情况" sheetId="7" r:id="rId9"/>
    <sheet name="光伏电池工艺流程及生产设备mapping" sheetId="8" r:id="rId10"/>
  </sheets>
  <definedNames>
    <definedName name="_xlnm._FilterDatabase" localSheetId="1">投资事件!$A$3:$E$154</definedName>
    <definedName name="_xlnm._FilterDatabase" localSheetId="4" hidden="true">'激光切割机&amp;折弯机上市公司情况'!$A$2:$E$153</definedName>
  </definedNames>
  <calcPr calcId="162913"/>
</workbook>
</file>

<file path=xl/sharedStrings.xml><?xml version="1.0" encoding="utf-8"?>
<sst xmlns="http://schemas.openxmlformats.org/spreadsheetml/2006/main" count="2960" uniqueCount="2960">
  <si>
    <t/>
  </si>
  <si>
    <t>三板相关信息</t>
  </si>
  <si>
    <t>公司基本情况（据公开转让说明书申报稿）</t>
  </si>
  <si>
    <t>主要财务数据</t>
  </si>
  <si>
    <t>证券代码</t>
  </si>
  <si>
    <t>证券名称</t>
  </si>
  <si>
    <t>公司中文名称</t>
  </si>
  <si>
    <t>所属分层</t>
  </si>
  <si>
    <t>是否挂牌</t>
  </si>
  <si>
    <t>上市板块</t>
  </si>
  <si>
    <t>挂牌/上市日期</t>
  </si>
  <si>
    <t>辅导计划</t>
  </si>
  <si>
    <t>公司简介</t>
  </si>
  <si>
    <t>激光领域核心产品</t>
  </si>
  <si>
    <t>下游应用领域及客户</t>
  </si>
  <si>
    <t>行业竞争格局（友商、各自市占率）</t>
  </si>
  <si>
    <t>营业总收入
2023 (亿元)</t>
  </si>
  <si>
    <t>营业总收入
2024(亿元)</t>
  </si>
  <si>
    <t>营业总收入
2025H1
(亿元)</t>
  </si>
  <si>
    <t>净利润
2023 (亿元)</t>
  </si>
  <si>
    <t>净利润
2024(亿元)</t>
  </si>
  <si>
    <t>净利润
2025H1
(亿元)</t>
  </si>
  <si>
    <t>销售毛利率
2023年（%)</t>
  </si>
  <si>
    <t>销售毛利率
2024（%)</t>
  </si>
  <si>
    <t>销售毛利率
2025H1（%)</t>
  </si>
  <si>
    <t>874865.NQ</t>
  </si>
  <si>
    <t>森峰激光</t>
  </si>
  <si>
    <t>济南森峰激光科技股份有限公司</t>
  </si>
  <si>
    <t>创新层</t>
  </si>
  <si>
    <t>是</t>
  </si>
  <si>
    <t>三板</t>
  </si>
  <si>
    <t>已完成辅导验收，2025 年 12 月获山东证监局辅导验收函，2026 年 1 月 28 日北交所审核问询（A06969.BJ）</t>
  </si>
  <si>
    <t>2007 年成立，2021 年股改，总部位于济南，是国家高新技术企业。专注激光加工设备及智能制造生产线研发、生产、销售，拥有 “森峰”“镭鸣” 双品牌，业务覆盖国内外，拟在全国股转系统挂牌，符合创新层进层标准。</t>
  </si>
  <si>
    <t>光纤激光切割设备（占激光加工设备收入 90%）、激光焊接设备、激光熔覆设备、智能制造生产线</t>
  </si>
  <si>
    <t>【下游】应用于汽车零部件、工程机械、装配式建筑等领域，拓展至新能源汽车等新兴领域。
【客户】客户分散，国际客户为主，2024 年前五大客户含 TECHNOGRAV LLC 等，合计占比 10.45%。</t>
  </si>
  <si>
    <t>国内竞争激烈，友商有大族激光、华工科技等上市公司，国际有德国通快、瑞士百超等。公司在中高功率领域有一定竞争力，依赖核心零部件采购。</t>
  </si>
  <si>
    <t>874868.NQ</t>
  </si>
  <si>
    <t>华日激光</t>
  </si>
  <si>
    <t>武汉华日精密激光股份有限公司</t>
  </si>
  <si>
    <t>基础层</t>
  </si>
  <si>
    <t>2025 年 7 月启动辅导，湖北证监局辅导备案通过，2026 年 2 月处于辅导中期检查阶段</t>
  </si>
  <si>
    <t>超快激光器研发与生产企业。</t>
  </si>
  <si>
    <t>纳秒激光器、皮秒激光器、飞秒激光器和超快激光种子源</t>
  </si>
  <si>
    <t>【下游】为下游激光设备商提供核心光源，为机械设备商提供激光加工工具，为高等院校/科研机构提供定制化光源。
【客户】华工科技、金橙子科技、福晶科技、奥量光子、武汉光谷。</t>
  </si>
  <si>
    <t>国内主要竞争对手包括创鑫激光、英诺激光（2.7%）、凯普林、杰普特、锐科激光。</t>
  </si>
  <si>
    <t>874786.NQ</t>
  </si>
  <si>
    <t>嘉泰激光</t>
  </si>
  <si>
    <t>浙江嘉泰激光科技股份有限公司</t>
  </si>
  <si>
    <t>2025 年 9 月签订辅导协议，山东证监局已受理辅导备案，处于辅导期（预计 2026 年 Q3 完成验收）</t>
  </si>
  <si>
    <t>专注于激光设备的研发、生产和销售，在中小功率激光设备市场具有一定知名度。</t>
  </si>
  <si>
    <t>光纤激光切割机、激光打标机、激光焊接机等，以中小功率设备为主</t>
  </si>
  <si>
    <t>【下游】五金加工、钣金制造、电子元件行业，客户以中小企业为主，分布在制造业集中区域，通过直销和经销模式拓展市场。
【客户】鸿路钢、VFM MACHINERY SDN.BHD、LASER FOCUS CO.LTD 、广西钢之泰、无锡优恒</t>
  </si>
  <si>
    <t>国内激光加工设备企业数量众多，其中，大族激光、宏石激光在经营规模上具有显著优势，处于行业第一梯队；嘉泰激光、邦德激光、森峰激光等经营规模虽然较大族激光、宏石激光小，处于行业第二梯队，但具备较强的技术研发能力及细分领域的差异化竞争优势。</t>
  </si>
  <si>
    <t>/</t>
  </si>
  <si>
    <t>839939.NQ</t>
  </si>
  <si>
    <t>德中技术</t>
  </si>
  <si>
    <t>德中(天津)技术发展股份有限公司</t>
  </si>
  <si>
    <t>2025 年 11 月公告启动北交所辅导，暂未完成辅导备案（计划 2026 年 3 月提交备案材料）</t>
  </si>
  <si>
    <t>激光材料和电路板制成设备研发商，主要产品包括超短脉冲激光加工设备、紫外激光精密加工设备、机械激光一体机等。</t>
  </si>
  <si>
    <t>快速电路板制作系统、激光精密加工设备、皮秒激光精密加工设备、激光钢网切割系统</t>
  </si>
  <si>
    <t>【下游】应用于电子、航空航天、医疗等行业，客户包括高校、研究所、军工企业及电子企业。
【客户】中国电子科技集团、上海航天电子、南京吉隆光纤、上海移宇科技、英诺激光。</t>
  </si>
  <si>
    <t>国外主要激光材料加工设备公司在亚洲的市场份额逐年下滑，国内本土企业销售额稳步提升，设备行业的技术也在向中国转移。友商：德国LPKF、大族激光、美国ESIO、苏州德龙激光。</t>
  </si>
  <si>
    <t>872362.NQ</t>
  </si>
  <si>
    <t>奥森迪科</t>
  </si>
  <si>
    <t>武汉奥森迪科智能科技股份有限公司</t>
  </si>
  <si>
    <t>2026 年 1 月与辅导机构签订协议，拟 2026 年 2 月向河北证监局提交辅导备案</t>
  </si>
  <si>
    <t>公司是一家专业从事工业激光聚焦系统、自动化控制系统及其配套设备的设计、研发、生产和销售的高新技术企业。</t>
  </si>
  <si>
    <t>激光数控系统、 激光切割焊接设备</t>
  </si>
  <si>
    <t>【下游】工业制造、汽车、船舶、军工、广告、文创等领域。
【客户】激光设备制造商（核心客户）：法利莱、诺克、金威刻、鑫全利等（为激光切割机、焊接机提供切割头、数控系统、手持焊枪等核心部件）。</t>
  </si>
  <si>
    <t>大族激光在大功率和中小功率激光加工设备的市场都占有较大份额。在小功率激光加工设备市场，大族激光和武汉的华工科技、天琪激光、华俄激光、金运激光，苏州的德龙激光等已逐步取代国外厂商取得了近九成的市场份额。</t>
  </si>
  <si>
    <t>874959.NQ</t>
  </si>
  <si>
    <t>英谷激光</t>
  </si>
  <si>
    <t>苏州英谷激光科技股份有限公司</t>
  </si>
  <si>
    <t>公司主要从事高性能固体激光器的研发、生产和销售，产品覆盖纳秒级、皮秒级和飞秒级等多
脉宽，紫外、绿光、红外等多波段的各品类激光器。</t>
  </si>
  <si>
    <t>纳秒激光器、皮秒激光器和飞秒激光器</t>
  </si>
  <si>
    <t>【下游】公司下游客户主要为激光加工设备厂商等，产品广泛应用于消费电子、新能源、3D 打印、线路板加工、半导体、汽车、新材料和科学研究等。
【客户】德中技术、大族激光、帝尔激光、国人光速、河南天璇半导体等。</t>
  </si>
  <si>
    <t>主要竞争对手包括美国相干、朗美通、德国通快、美国 IPG 等，国内主要竞争对手包括华日激光、英诺激光、德龙激光、杰普特、锐科激光等。</t>
  </si>
  <si>
    <t>874775.NQ</t>
  </si>
  <si>
    <t>云岭光电</t>
  </si>
  <si>
    <t>武汉云岭光电股份有限公司</t>
  </si>
  <si>
    <t>光通信芯片及封装产品供应商，专 注于光通信芯片及封装产品的研发、生产与销售。公司采用 IDM 经营模式，具备覆盖芯片设计、晶 圆制造、芯片加工、封装、测试、性能及可靠性验证等完整工艺流程的垂直整合能力。</t>
  </si>
  <si>
    <t>光通信激光器、探测器芯片及封装类产品</t>
  </si>
  <si>
    <t>【下游】光器件或光模块厂商。
【客户】华工正源、天孚通信、海信宽带、大连藏龙、剑桥科技、联特科技、四川九州。</t>
  </si>
  <si>
    <t>国内厂商与国际龙头存在一到两个技术代际的 差距。EML国内市场几乎完全被美、日龙头企业垄断。</t>
  </si>
  <si>
    <t>873602.NQ</t>
  </si>
  <si>
    <t>ST益激</t>
  </si>
  <si>
    <t>广东德益激光科技股份有限公司</t>
  </si>
  <si>
    <t>业务涵盖激光设备研发、生产与销售，致力于为工业客户提供精准加工解决方案。</t>
  </si>
  <si>
    <t>激光打标机、激光焊接机、激光切割机</t>
  </si>
  <si>
    <t>【下游】汽车零部件、消费电子、五金电器、家具装饰、光通讯、精密机械等。
【客户】厦门兴安泰、东莞旺鑫精密 、湖南长歌、东莞峥嵘电子、广东通发激光、深圳惠富康。</t>
  </si>
  <si>
    <t>大族激光、华工科技和楚天科技等企业的产品范围较为广泛，产品涉及大中小功率激光产品，行业涉及汽车制造、电子行业、半导体行业、钢铁、冶金等行业。</t>
  </si>
  <si>
    <t>873468.NQ</t>
  </si>
  <si>
    <t>通发激光</t>
  </si>
  <si>
    <t>广东通发激光科技股份有限公司</t>
  </si>
  <si>
    <t>公司主要从事激光加工设备的研发、生产及销售业务。</t>
  </si>
  <si>
    <t>激光焊接机、激光打标机</t>
  </si>
  <si>
    <t>【下游】客户群体主要为模具、五金家电、消费电子、金银首饰、电池等行业企业。
【客户】兆威机电、格力电器 、德盈科技、厦门兴安泰。</t>
  </si>
  <si>
    <t>目前排名靠前的激光企业分别为德国TRUMPF、美国IPG、中国大族激光、美国COHERENT 和中国华工科技。</t>
  </si>
  <si>
    <t>872922.NQ</t>
  </si>
  <si>
    <t>汇科信</t>
  </si>
  <si>
    <t>武汉汇科信工业技术股份有限公司</t>
  </si>
  <si>
    <t>专注精密金属结构件和激光机床产品的设计、研发、加工制造及配套服务。</t>
  </si>
  <si>
    <t>激光切割机零部件（横梁、机床床身、导轨等），以及双驱光纤激光切割机、平行交换激光切割机等智能激光机床产品</t>
  </si>
  <si>
    <t>【下游】光电通讯和激光等行业的精密零部件加工制造。
【客户】光迅科技 、奔腾激光、武汉奥新科技 、大族金石凯。</t>
  </si>
  <si>
    <t>行业集中度低，属完全竞争状态，主要友商有武汉科贝科技、卡特激光等。公司依托武汉光谷产业集群优势，技术、客户资源及口碑优势占据区域市场份额。</t>
  </si>
  <si>
    <t>870145.NQ</t>
  </si>
  <si>
    <t>光博士</t>
  </si>
  <si>
    <t>东莞市光博士激光科技股份有限公司</t>
  </si>
  <si>
    <t>专注中高端激光系统研发、生产及销售。</t>
  </si>
  <si>
    <t>激光打标机、激光切割机、牛仔激光洗水机，涵盖 XXP 系列三维动态 CO2 激光打标机、YLP 系列光纤激光打标机等 150 多款</t>
  </si>
  <si>
    <t>【下游】鞋业、包装印刷、广告制作、电子材料加工等柔性材料加工行业。
【客户】李宁、安踏、FILA、斯凯奇、比亚迪、吉利汽车、领益、晨光等。</t>
  </si>
  <si>
    <t>竞争企业有大族激光、华工科技等，大族激光在中小功率市场占 44.8% 份额。公司凭借技术研发、产品性能优势，在细分领域占一席之地。</t>
  </si>
  <si>
    <t>833611.NQ</t>
  </si>
  <si>
    <t>镭之源</t>
  </si>
  <si>
    <t>山东镭之源激光科技股份有限公司</t>
  </si>
  <si>
    <t>专注激光电源、通信专用电源等设备的研发、生产与销售。</t>
  </si>
  <si>
    <t>60W、80W、150W 等系列 CO₂激光电源，固体激光驱动电源，以及小功率、大功率半导体激光电源</t>
  </si>
  <si>
    <t>【下游】激光雕刻、切割、打标、打孔、金属焊接等
【客户】宏源电气、中国移动、镭海激光、邦讯技术、中国移动</t>
  </si>
  <si>
    <t>行业集中度较低，国内电源企业达 1.73 万家，规模以上企业仅千余家。友商多为中小型私营企业，产品同质化竞争存在。</t>
  </si>
  <si>
    <t>831055.NQ</t>
  </si>
  <si>
    <t>三优光电</t>
  </si>
  <si>
    <t>厦门三优光电股份有限公司</t>
  </si>
  <si>
    <t>否</t>
  </si>
  <si>
    <t>公司致力于信息光电子领域内有源光通信器件的研发、生产和销售。</t>
  </si>
  <si>
    <t>半导体激光器/探测器、光收发组件、光模块</t>
  </si>
  <si>
    <t>【下游】主要消费群体是光通信设备生产商、光收发模块与系统集成生产商、光电网络服务商、云计算数据中心。
【客户】 Avago、Cyoptics、Oplink、高意、AOI、昂纳、台达、易飞扬等。</t>
  </si>
  <si>
    <t>光有源器件已经形成了具备全球信息链的产业群，但在一些核心高端光电器件方面，和世界上领先水平还在较大的差距。主要竞争对手有：光迅科技、光恒科技、华美科技、深圳亚派。</t>
  </si>
  <si>
    <t>430549.NQ</t>
  </si>
  <si>
    <t>天弘激光</t>
  </si>
  <si>
    <t>苏州天弘激光股份有限公司</t>
  </si>
  <si>
    <t>以激光打标机为主要产品的系列激光加工设备在行业内具有一定的市场竞争力。</t>
  </si>
  <si>
    <t>激光打标机（半导体、光纤、CO₂系列）、激光焊接机、数控激光切割机、激光器</t>
  </si>
  <si>
    <t>【下游】电子元件、医药、精密机械、汽车零部件等。
【客户】宁波特艾科机械制造有限公司、大连瓦轴集团轴承装备制造有限公司等。</t>
  </si>
  <si>
    <t>面临大族激光、华工激光等头部企业及武汉金运激光等厂商竞争。行业四大产业群，公司在中小功率设备市场属中等偏上规模。大族激光为首，武汉华工激光、武汉楚天激光、深圳泰德激光等占据市场销售额的 90%以上。</t>
  </si>
  <si>
    <t>数据来源：烯牛数据</t>
  </si>
  <si>
    <t>公司名</t>
  </si>
  <si>
    <t>简介</t>
  </si>
  <si>
    <t>投资轮次</t>
  </si>
  <si>
    <t>获投金额</t>
  </si>
  <si>
    <t>投资方</t>
  </si>
  <si>
    <t>XTOOL</t>
  </si>
  <si>
    <t>消费级激光雕刻机</t>
  </si>
  <si>
    <t>Pre-IPO</t>
  </si>
  <si>
    <t>2亿美元</t>
  </si>
  <si>
    <t>腾讯投资领投， Granite Asia 、凯辉基金、高成资本、 源一资本 、嘉御资本跟投</t>
  </si>
  <si>
    <t>乃尔电子</t>
  </si>
  <si>
    <t>高端传感器及测控系统制造商</t>
  </si>
  <si>
    <t>D轮</t>
  </si>
  <si>
    <t>3亿元</t>
  </si>
  <si>
    <t>海望资本，中国中车</t>
  </si>
  <si>
    <t>深庭纪智能</t>
  </si>
  <si>
    <t>AI陪伴具⾝智能机器⼈研发商</t>
  </si>
  <si>
    <t>天使轮</t>
  </si>
  <si>
    <t>1亿元</t>
  </si>
  <si>
    <t>蓝驰创投领投，Particle Future跟投</t>
  </si>
  <si>
    <t>超维传感</t>
  </si>
  <si>
    <t>灵巧手触觉传感器研发商</t>
  </si>
  <si>
    <t>1000万元</t>
  </si>
  <si>
    <t>南山战新投领投，力合科创、深圳天使母基金、方信资本等跟投</t>
  </si>
  <si>
    <t>鲲游光电</t>
  </si>
  <si>
    <t>晶圆级光学产品研发商</t>
  </si>
  <si>
    <t>C+轮</t>
  </si>
  <si>
    <t>上海国投、孚腾资本领投，元禾辰坤、TCL创投、容亿投资、中银资产、交银资本等跟投</t>
  </si>
  <si>
    <t>隆信激光</t>
  </si>
  <si>
    <t>金属激光切割设备研发商</t>
  </si>
  <si>
    <t>股权投资</t>
  </si>
  <si>
    <t>粤科金融集团</t>
  </si>
  <si>
    <t>星际光年</t>
  </si>
  <si>
    <t>具身智能技术研发商</t>
  </si>
  <si>
    <t>Pre-A+轮</t>
  </si>
  <si>
    <t>数千万元</t>
  </si>
  <si>
    <t>力合科创，高脉联合家族办公室，赛纳资本</t>
  </si>
  <si>
    <t>腾亚机器人</t>
  </si>
  <si>
    <t>智能割草机器人研发商</t>
  </si>
  <si>
    <t>南京市创新投资集团</t>
  </si>
  <si>
    <t>东拓新能源</t>
  </si>
  <si>
    <t>新能源装备研发商</t>
  </si>
  <si>
    <t>锡创投</t>
  </si>
  <si>
    <t>思傲拓</t>
  </si>
  <si>
    <t>水下清洁机器人产品研发商</t>
  </si>
  <si>
    <t>中金资本，弘晖基金，粤财基金，英飞尼迪Infinity，赛特威尔控股，誉华资产</t>
  </si>
  <si>
    <t>墨奇智能</t>
  </si>
  <si>
    <t>具身智能机器人研发商</t>
  </si>
  <si>
    <t>9亿元</t>
  </si>
  <si>
    <t>阿里云</t>
  </si>
  <si>
    <t>加速进化</t>
  </si>
  <si>
    <t>人形机器人研发商</t>
  </si>
  <si>
    <t>首程控股</t>
  </si>
  <si>
    <t>灵心巧手</t>
  </si>
  <si>
    <t>灵巧手和云端智脑具身智能平台研发商</t>
  </si>
  <si>
    <t>红杉中国，创世伙伴等</t>
  </si>
  <si>
    <t>光象科技</t>
  </si>
  <si>
    <t>工业具身智能机器人研发商</t>
  </si>
  <si>
    <t>达泰资本</t>
  </si>
  <si>
    <t>智同科技</t>
  </si>
  <si>
    <t>机器人传动系统解决方案服务商</t>
  </si>
  <si>
    <t>远见创投，中和元良，美的资本，上海弘晖，国发创投，国富创新，汇荣德运，比亚迪</t>
  </si>
  <si>
    <t>亦盛精密</t>
  </si>
  <si>
    <t>集成电路装备精密零部件供应商</t>
  </si>
  <si>
    <t>中国建材集团</t>
  </si>
  <si>
    <t>中科慧仪</t>
  </si>
  <si>
    <t>半导体量检测核心模组供应商</t>
  </si>
  <si>
    <t>沃德普</t>
  </si>
  <si>
    <t>高能数造</t>
  </si>
  <si>
    <t>新能源电池3D打印技术研发服务商</t>
  </si>
  <si>
    <t>白鹅潭基金，西安财金</t>
  </si>
  <si>
    <t>昇澜半导体</t>
  </si>
  <si>
    <t>电子元器件研发商</t>
  </si>
  <si>
    <t>启高资本，常春藤资本，长投集团，孚腾资本</t>
  </si>
  <si>
    <t>映矽传感</t>
  </si>
  <si>
    <t>高端压力传感器研发生产商</t>
  </si>
  <si>
    <t>常高新集团</t>
  </si>
  <si>
    <t>蓝点触控</t>
  </si>
  <si>
    <t>人形机器人六维力传感器供应商</t>
  </si>
  <si>
    <t>华仓基金</t>
  </si>
  <si>
    <t>超维动力</t>
  </si>
  <si>
    <t>具身智能基础模型和智能机器人研发商</t>
  </si>
  <si>
    <t>松禾资本</t>
  </si>
  <si>
    <t>岱科新能</t>
  </si>
  <si>
    <t>新能源服务提供商</t>
  </si>
  <si>
    <t>小苗朗程</t>
  </si>
  <si>
    <t>托伦斯</t>
  </si>
  <si>
    <t>半导体零部件供应商</t>
  </si>
  <si>
    <t>厚纪资本，东方嘉富，融泰创业，诺华资本，新鼎资本，永鑫方舟，乾奕景华，坤泰资本，交源资产，朗姿韩亚资管，远东城建</t>
  </si>
  <si>
    <t>曦诺未来Xynova</t>
  </si>
  <si>
    <t>人形机器人领域的核心零部件供应商</t>
  </si>
  <si>
    <t>溥泉资本领投，小米科技、正轩投资、东方嘉富、上海电科、光源资本跟投</t>
  </si>
  <si>
    <t>奈米科学</t>
  </si>
  <si>
    <t>检测设备研发商</t>
  </si>
  <si>
    <t>万林投资，金雨茂物</t>
  </si>
  <si>
    <t>云深处科技</t>
  </si>
  <si>
    <t>具身智能机器人研发应用服务商</t>
  </si>
  <si>
    <t>数亿元</t>
  </si>
  <si>
    <t>上海国盛集团领投，京东跟投</t>
  </si>
  <si>
    <t>愚公高科</t>
  </si>
  <si>
    <t>电芯真空干燥设备研发供应商</t>
  </si>
  <si>
    <t>A轮</t>
  </si>
  <si>
    <t>善达投资</t>
  </si>
  <si>
    <t>原子创新</t>
  </si>
  <si>
    <t>能源设备制造与技术服务商</t>
  </si>
  <si>
    <t>晟泽创投</t>
  </si>
  <si>
    <t>新氢动力</t>
  </si>
  <si>
    <t>新能源设备研发生产商</t>
  </si>
  <si>
    <t>鑫智投资</t>
  </si>
  <si>
    <t>保邦电气</t>
  </si>
  <si>
    <t>超高速磁悬浮电机研发制造商</t>
  </si>
  <si>
    <t>张家港凤凰</t>
  </si>
  <si>
    <t>稳泰新能源</t>
  </si>
  <si>
    <t>锂电池正负极材料修复技术研发商</t>
  </si>
  <si>
    <t>佛山金控</t>
  </si>
  <si>
    <t>德沪涂膜</t>
  </si>
  <si>
    <t>电子级精密狭缝涂布设备研发商</t>
  </si>
  <si>
    <t>京国瑞管理公司</t>
  </si>
  <si>
    <t>艾普阳激光</t>
  </si>
  <si>
    <t>泛半导体激光应用装备研发商</t>
  </si>
  <si>
    <t>吴江创投</t>
  </si>
  <si>
    <t>德融科技</t>
  </si>
  <si>
    <t>高端半导体光电芯片设计和制造商</t>
  </si>
  <si>
    <t>中肃资本</t>
  </si>
  <si>
    <t>格松科技</t>
  </si>
  <si>
    <t>昆仲资本、英诺天使基金领投</t>
  </si>
  <si>
    <t>壹粟创新</t>
  </si>
  <si>
    <t>桌面级激光加工设备研发商</t>
  </si>
  <si>
    <t>Pre-A轮</t>
  </si>
  <si>
    <t>同创伟业，元钛基金，协立投资</t>
  </si>
  <si>
    <t>克瑞科技</t>
  </si>
  <si>
    <t>微电机产品制造商</t>
  </si>
  <si>
    <t>浙商创投，元禾厚望</t>
  </si>
  <si>
    <t>启玄科技</t>
  </si>
  <si>
    <t>新型焊接机器人提供商</t>
  </si>
  <si>
    <t>燕融国际</t>
  </si>
  <si>
    <t>成至科技</t>
  </si>
  <si>
    <t>无人机机器人系统研发商</t>
  </si>
  <si>
    <t>瑞和投资</t>
  </si>
  <si>
    <t>中科融合</t>
  </si>
  <si>
    <t>3D视觉SOC及MEMS芯片模组研发商</t>
  </si>
  <si>
    <t>海南明沣，长兴基金，松禾资本</t>
  </si>
  <si>
    <t>立为激光</t>
  </si>
  <si>
    <t>一站式工业激光解决方案供应商</t>
  </si>
  <si>
    <t>中晟汇银</t>
  </si>
  <si>
    <t>维优镭斯</t>
  </si>
  <si>
    <t>光电元器件生产商</t>
  </si>
  <si>
    <t>宁波天使投资引导基金</t>
  </si>
  <si>
    <t>夸克电动</t>
  </si>
  <si>
    <t>全域电动化驱动技术高端解决方案提供商</t>
  </si>
  <si>
    <t>连云港工投集团，南京市创新投资集团</t>
  </si>
  <si>
    <t>光速一构</t>
  </si>
  <si>
    <t>弹性体增材制造整体解决方案提供商</t>
  </si>
  <si>
    <t>未披露</t>
  </si>
  <si>
    <t>数合科技</t>
  </si>
  <si>
    <t>AI无损检测解决方案提供商</t>
  </si>
  <si>
    <t>开源思创领投，青实资本跟投</t>
  </si>
  <si>
    <t>中科谱光</t>
  </si>
  <si>
    <t>智能光谱检测解决方案提供商</t>
  </si>
  <si>
    <t>中关村协同基金</t>
  </si>
  <si>
    <t>擎能新能</t>
  </si>
  <si>
    <t>新兴能源技术研发商</t>
  </si>
  <si>
    <t>欣旺达</t>
  </si>
  <si>
    <t>寰采星</t>
  </si>
  <si>
    <t>高精度金属掩膜版研发制造商</t>
  </si>
  <si>
    <t>宏翼资本，泽方投资</t>
  </si>
  <si>
    <t>快粼光电</t>
  </si>
  <si>
    <t>III-V族光电探测芯片研发商</t>
  </si>
  <si>
    <t>奇绩创坛</t>
  </si>
  <si>
    <t>多谱芯光</t>
  </si>
  <si>
    <t>晶圆级光学玻璃元件制造商</t>
  </si>
  <si>
    <t>国晟资本，险峰K2VC，中新集团，元禾控股</t>
  </si>
  <si>
    <t>盛芯精密</t>
  </si>
  <si>
    <t>精密模具设计和制造商</t>
  </si>
  <si>
    <t>广润投资，容亿投资，南湖国控集团，金浦投资</t>
  </si>
  <si>
    <t>恒科鑫</t>
  </si>
  <si>
    <t>滚珠丝杠及执行器生产商</t>
  </si>
  <si>
    <t>新疆火炬</t>
  </si>
  <si>
    <t>华芯半导体</t>
  </si>
  <si>
    <t>高亮度半导体光电芯片供应商</t>
  </si>
  <si>
    <t>新紫光集团</t>
  </si>
  <si>
    <t>崇山科技</t>
  </si>
  <si>
    <t>新能源设备研发制造商</t>
  </si>
  <si>
    <t>松洋工业</t>
  </si>
  <si>
    <t>工业自动化设备及解决方案提供商</t>
  </si>
  <si>
    <t>4500万元</t>
  </si>
  <si>
    <t>蚂蚁集团</t>
  </si>
  <si>
    <t>秦宁光电</t>
  </si>
  <si>
    <t>高性能光栅位移传感器制造商</t>
  </si>
  <si>
    <t>中赢创投领投</t>
  </si>
  <si>
    <t>赛里斯</t>
  </si>
  <si>
    <t>智能传动系统供应商</t>
  </si>
  <si>
    <t>东方嘉富领投，嘉溢创投跟投</t>
  </si>
  <si>
    <t>星翼数能</t>
  </si>
  <si>
    <t>太阳能发电技术研发商</t>
  </si>
  <si>
    <t>珞珈聚芯</t>
  </si>
  <si>
    <t>越伴动力</t>
  </si>
  <si>
    <t>家庭型陪伴机器人研发商</t>
  </si>
  <si>
    <t>真格基金</t>
  </si>
  <si>
    <t>中科研和</t>
  </si>
  <si>
    <t>高效光伏电池核心装备及工艺解决方案提供商</t>
  </si>
  <si>
    <t>镇海产业</t>
  </si>
  <si>
    <t>盈普三维</t>
  </si>
  <si>
    <t>3D打印技术研发商</t>
  </si>
  <si>
    <t>中时资本</t>
  </si>
  <si>
    <t>思特光学</t>
  </si>
  <si>
    <t>振镜扫描系统解决方案提供商</t>
  </si>
  <si>
    <t>东莞科创金融集团，元禾原点，前海母基金</t>
  </si>
  <si>
    <t>亮点光电</t>
  </si>
  <si>
    <t>半导体激光器件及激光应用系统研发生产商</t>
  </si>
  <si>
    <t>厚盈科技，广东季华，华泰紫金投资，锡山金投</t>
  </si>
  <si>
    <t>眸深智能</t>
  </si>
  <si>
    <t>生成式通用具身大脑技术研发商</t>
  </si>
  <si>
    <t>上海国和投资领投，复容资本等跟投</t>
  </si>
  <si>
    <t>卧安机器人</t>
  </si>
  <si>
    <t>AI具身家庭机器人研发制造商</t>
  </si>
  <si>
    <t>基石投资</t>
  </si>
  <si>
    <t>7亿港元</t>
  </si>
  <si>
    <t>高瓴资本，Cithara Fund，无极资本，东方资产，Wind Sabre Fund，Yield Royal Investment，锐智资本</t>
  </si>
  <si>
    <t>轻量智造</t>
  </si>
  <si>
    <t>3D打印品牌</t>
  </si>
  <si>
    <t>海欣私募领投，南山战新投跟投</t>
  </si>
  <si>
    <t>图漾科技</t>
  </si>
  <si>
    <t>3D机器视觉供应商</t>
  </si>
  <si>
    <t>新港高新</t>
  </si>
  <si>
    <t>燧石蓉创</t>
  </si>
  <si>
    <t>半导体光电产品</t>
  </si>
  <si>
    <t>长赫投资</t>
  </si>
  <si>
    <t>华创鸿度</t>
  </si>
  <si>
    <t>大功率超快固体激光器研发生产商</t>
  </si>
  <si>
    <t>华富瑞兴</t>
  </si>
  <si>
    <t>钧舵机器人</t>
  </si>
  <si>
    <t>人形机器人灵巧手研发商</t>
  </si>
  <si>
    <t>星辰创投，邦盛资本，鱼大水大</t>
  </si>
  <si>
    <t>通潮精密</t>
  </si>
  <si>
    <t>半导体设备核心零部件制造商</t>
  </si>
  <si>
    <t>国元股权领投，国中资本、海富产业基金、合肥产投集团、国联通宝资本、华泰资产管理跟投</t>
  </si>
  <si>
    <t>智灵机器人</t>
  </si>
  <si>
    <t>智能机器人研发商</t>
  </si>
  <si>
    <t>策源资本</t>
  </si>
  <si>
    <t>浪涌未来</t>
  </si>
  <si>
    <t>泳池清洁机器人设计研发商</t>
  </si>
  <si>
    <t>天空工场资本</t>
  </si>
  <si>
    <t>极瞰健康</t>
  </si>
  <si>
    <t>上海合银投资</t>
  </si>
  <si>
    <t>格蓝若智能</t>
  </si>
  <si>
    <t>具身智能机器人整机和关键零部件研发商</t>
  </si>
  <si>
    <t>A+轮</t>
  </si>
  <si>
    <t>长江资本领投，光谷产业投资跟投</t>
  </si>
  <si>
    <t>天机智能</t>
  </si>
  <si>
    <t>工业机器人研发商</t>
  </si>
  <si>
    <t>招银国际，赛富投资基金，纪源资本</t>
  </si>
  <si>
    <t>鸿源绿能</t>
  </si>
  <si>
    <t>新能源设备制造商</t>
  </si>
  <si>
    <t>弘毅投资</t>
  </si>
  <si>
    <t>地心科技</t>
  </si>
  <si>
    <t>半导体晶圆检测设备研发商</t>
  </si>
  <si>
    <t>无锡高新区投控集团，华信资本</t>
  </si>
  <si>
    <t>贝耐特光学</t>
  </si>
  <si>
    <t>硅基液晶光学器件与系统研发生产商</t>
  </si>
  <si>
    <t>A++轮</t>
  </si>
  <si>
    <t>安芯基金</t>
  </si>
  <si>
    <t>卫澜深海</t>
  </si>
  <si>
    <t>水下具身平台产品研发商</t>
  </si>
  <si>
    <t>英诺天使基金，奇绩创坛</t>
  </si>
  <si>
    <t>因克斯ENCOS</t>
  </si>
  <si>
    <t>人形机器人与具身智能核心零部件研发商</t>
  </si>
  <si>
    <t>2亿元</t>
  </si>
  <si>
    <t>华控基金、深创投领投，普华资本、绿洲资本Vitalbridge、锦秋基金跟投</t>
  </si>
  <si>
    <t>歌尔视显</t>
  </si>
  <si>
    <t>高性能光电器件研发商</t>
  </si>
  <si>
    <t>山东省国投</t>
  </si>
  <si>
    <t>月泉仿生</t>
  </si>
  <si>
    <t>通用型仿生人形机器人研发商</t>
  </si>
  <si>
    <t>未来科学城</t>
  </si>
  <si>
    <t>炬坤机器人</t>
  </si>
  <si>
    <t>仿人灵巧手关键技术研发商</t>
  </si>
  <si>
    <t>东方富海</t>
  </si>
  <si>
    <t>海伯森</t>
  </si>
  <si>
    <t>智能化传感器研发生产商</t>
  </si>
  <si>
    <t>和而泰</t>
  </si>
  <si>
    <t>克洛托光电</t>
  </si>
  <si>
    <t>高端光电产品研发生产商</t>
  </si>
  <si>
    <t>吉林省投资集团，张家港产业资本中心</t>
  </si>
  <si>
    <t>纵慧芯光</t>
  </si>
  <si>
    <t>激光芯片研发商</t>
  </si>
  <si>
    <t>元禾控股，一村资本，芯禾资本，东阳光，乾融创禾资本，杜若海企业，永鑫方舟</t>
  </si>
  <si>
    <t>清智元视</t>
  </si>
  <si>
    <t>视觉传感器研发制造商</t>
  </si>
  <si>
    <t>华创资本，峰瑞资本</t>
  </si>
  <si>
    <t>阿丘科技</t>
  </si>
  <si>
    <t>工业机器人视觉技术平台</t>
  </si>
  <si>
    <t>可可资本</t>
  </si>
  <si>
    <t>具身风暴机器人</t>
  </si>
  <si>
    <t>通用智能机器人开发商</t>
  </si>
  <si>
    <t>啟赋资本，金沙江创投</t>
  </si>
  <si>
    <t>首形科技</t>
  </si>
  <si>
    <t>超仿生机器人研发商</t>
  </si>
  <si>
    <t>中网投、蚂蚁集团领投，上海国投、东方富海、招商局创投跟投</t>
  </si>
  <si>
    <t>纵苇科技</t>
  </si>
  <si>
    <t>智能磁驱及磁悬浮输送技术研发商</t>
  </si>
  <si>
    <t>Pre-C+轮</t>
  </si>
  <si>
    <t>创新工场，兴泰资本，蓝驰创投，国发创投</t>
  </si>
  <si>
    <t>湖北新锐</t>
  </si>
  <si>
    <t>高功率LED光源及模组研发商</t>
  </si>
  <si>
    <t>西部资本</t>
  </si>
  <si>
    <t>地瓜机器人</t>
  </si>
  <si>
    <t>机器人软硬件通用底座提供商</t>
  </si>
  <si>
    <t>B轮</t>
  </si>
  <si>
    <t>数亿美元</t>
  </si>
  <si>
    <t>Prosperity7 Ventures等</t>
  </si>
  <si>
    <t>卓誉科技</t>
  </si>
  <si>
    <t>具身智能核心驱动部件研发商</t>
  </si>
  <si>
    <t>光洋股份、翠微基金领投，星河创投、无锡高新区投控集团、吴中金控集团等跟投</t>
  </si>
  <si>
    <t>交大智邦</t>
  </si>
  <si>
    <t>高端智能装备研发制造商</t>
  </si>
  <si>
    <t>元禾控股，司南园科</t>
  </si>
  <si>
    <t>长越科技</t>
  </si>
  <si>
    <t>高端封测设备研发商</t>
  </si>
  <si>
    <t>本坚基金</t>
  </si>
  <si>
    <t>旭合科技</t>
  </si>
  <si>
    <t>超高效N型晶硅光伏产品研发商</t>
  </si>
  <si>
    <t>亚商资本</t>
  </si>
  <si>
    <t>迈雷特</t>
  </si>
  <si>
    <t>工业自动化控制设备解决方案提供商</t>
  </si>
  <si>
    <t>盛世投资</t>
  </si>
  <si>
    <t>汉可智能</t>
  </si>
  <si>
    <t>异质结光伏设备研发制造商</t>
  </si>
  <si>
    <t>烟台国丰投资</t>
  </si>
  <si>
    <t>FREEGO</t>
  </si>
  <si>
    <t>正轩投资，鼎晖投资，柏睿资本</t>
  </si>
  <si>
    <t>融速科技</t>
  </si>
  <si>
    <t>金属送丝增材装备和服务提供商</t>
  </si>
  <si>
    <t>苏高新金控</t>
  </si>
  <si>
    <t>智世机器人</t>
  </si>
  <si>
    <t>智能仓储解决方案提供商</t>
  </si>
  <si>
    <t>隐峰资本</t>
  </si>
  <si>
    <t>智感千屿</t>
  </si>
  <si>
    <t>传感器技术研发商</t>
  </si>
  <si>
    <t>两江资本</t>
  </si>
  <si>
    <t>奕腾智能</t>
  </si>
  <si>
    <t>工业自动化服务提供商</t>
  </si>
  <si>
    <t>蚌埠投资集团，港城产投</t>
  </si>
  <si>
    <t>聚芯光子</t>
  </si>
  <si>
    <t>有源光纤研发生产商</t>
  </si>
  <si>
    <t>金泰富资本，中科神光</t>
  </si>
  <si>
    <t>小楠智能</t>
  </si>
  <si>
    <t>智能制造和物流自动化服务商</t>
  </si>
  <si>
    <t>金沙江创投</t>
  </si>
  <si>
    <t>C轮</t>
  </si>
  <si>
    <t>5亿元</t>
  </si>
  <si>
    <t>招银国际、华夏基金领投，中国电信、中国联通、云晖资本、中芯聚源、浙江大学教育基金会、首程控股、达晨财智、前海母基金、海通创意资本、京国瑞管理公司、华映资本等跟投</t>
  </si>
  <si>
    <t>攻壳智能</t>
  </si>
  <si>
    <t>工业机器人制造商</t>
  </si>
  <si>
    <t>中鼎股份</t>
  </si>
  <si>
    <t>领新新能源</t>
  </si>
  <si>
    <t>大功率聚合物凝胶固态电池研发商</t>
  </si>
  <si>
    <t>国石智达</t>
  </si>
  <si>
    <t>韵腾激光</t>
  </si>
  <si>
    <t>自动化高精密激光应用专业设备制造商</t>
  </si>
  <si>
    <t>洪泰基金</t>
  </si>
  <si>
    <t>中科际联</t>
  </si>
  <si>
    <t>光电子集成器件产品及解决方案提供商</t>
  </si>
  <si>
    <t>烟台财金集团，正源集团</t>
  </si>
  <si>
    <t>长曜创新</t>
  </si>
  <si>
    <t>无边界智能割草机器人研发商</t>
  </si>
  <si>
    <t>申昊科技领投，高秉强、Brizan Ventures、高锋耐心资本等跟投</t>
  </si>
  <si>
    <t>众擎机器人</t>
  </si>
  <si>
    <t>通用型人形机器人研发商</t>
  </si>
  <si>
    <t>A1+轮/A2轮</t>
  </si>
  <si>
    <t>黄浦江资本、河南投资集团、华控基金领投，Stone Venture、达晨财智、国中资本、央视基金、南山战新投、财鑫资本、吉利星源、汇勤资本等跟投</t>
  </si>
  <si>
    <t>灵生科技</t>
  </si>
  <si>
    <t>具身智能机器人大脑研发商</t>
  </si>
  <si>
    <t>Pre-A轮/PreA+轮</t>
  </si>
  <si>
    <t>宁波方正领投，鸿瑞投资、万物为创投跟投</t>
  </si>
  <si>
    <t>鹿明机器人</t>
  </si>
  <si>
    <t>Pre-A2轮</t>
  </si>
  <si>
    <t>申能诚毅</t>
  </si>
  <si>
    <t>恒璇机器人</t>
  </si>
  <si>
    <t>机器人关节研发商</t>
  </si>
  <si>
    <t>英诺天使基金，万物为创投</t>
  </si>
  <si>
    <t>辰显光电</t>
  </si>
  <si>
    <t>Micro-LED显示领域供应商</t>
  </si>
  <si>
    <t>高新发展</t>
  </si>
  <si>
    <t>大晓机器人</t>
  </si>
  <si>
    <t>机器人技术研发商</t>
  </si>
  <si>
    <t>国香资本</t>
  </si>
  <si>
    <t>RoboParty</t>
  </si>
  <si>
    <t>种子+轮</t>
  </si>
  <si>
    <t>经纬创投，小米科技，光源资本，华映资本，国香资本，百度风投</t>
  </si>
  <si>
    <t>艾利特机器人</t>
  </si>
  <si>
    <t>工业机器人及自动化设备研发商</t>
  </si>
  <si>
    <t>D+轮</t>
  </si>
  <si>
    <t>2000万元</t>
  </si>
  <si>
    <t>山东威达</t>
  </si>
  <si>
    <t>天科新能源</t>
  </si>
  <si>
    <t>锂离子电池制造商</t>
  </si>
  <si>
    <t>同创伟业，凯辉基金，杭广熠熠，曦晨资本，华桐创业</t>
  </si>
  <si>
    <t>UniX AI机器人</t>
  </si>
  <si>
    <t>通用人形具身智能机器人研发商</t>
  </si>
  <si>
    <t>天使++++轮/天使+++++轮</t>
  </si>
  <si>
    <t>川商基金，吴中金控集团，益华资本，青域基金，太浩创投，赛纳资本等</t>
  </si>
  <si>
    <t>正奇创新</t>
  </si>
  <si>
    <t>家用机器人研发商</t>
  </si>
  <si>
    <t>松禾资本，南山战新投</t>
  </si>
  <si>
    <t>华安星辰</t>
  </si>
  <si>
    <t>安徽国控集团</t>
  </si>
  <si>
    <t>星迈创新</t>
  </si>
  <si>
    <t>泳池智能清洁机器人研发商</t>
  </si>
  <si>
    <t>美团龙珠</t>
  </si>
  <si>
    <t>无界动力</t>
  </si>
  <si>
    <t>通用具身智能解决方案提供商</t>
  </si>
  <si>
    <t>百度风投</t>
  </si>
  <si>
    <t>意优机器人</t>
  </si>
  <si>
    <t>人形机器人驱动系统研发商</t>
  </si>
  <si>
    <t>无锡意瑞，孚腾资本，凯尔达，建元信托</t>
  </si>
  <si>
    <t>原力聚合机器人</t>
  </si>
  <si>
    <t>智能物流机器人研发商</t>
  </si>
  <si>
    <t>联想创投</t>
  </si>
  <si>
    <t>照阳光能</t>
  </si>
  <si>
    <t>钙钛矿光伏电池研发商</t>
  </si>
  <si>
    <t>合肥创新投资</t>
  </si>
  <si>
    <t>尧乐科技</t>
  </si>
  <si>
    <t>柔性织物触觉传感器研发商</t>
  </si>
  <si>
    <t>初辉资本，硅港资本，隐峰资本</t>
  </si>
  <si>
    <t>迅传智能</t>
  </si>
  <si>
    <t>磁悬浮柔性传输系统研发商</t>
  </si>
  <si>
    <t>穗升科技</t>
  </si>
  <si>
    <t>AI录音硬件产品开发商</t>
  </si>
  <si>
    <t>数百万美元</t>
  </si>
  <si>
    <t>红杉中国领投，高韬跟投</t>
  </si>
  <si>
    <t>中创晋新</t>
  </si>
  <si>
    <t>企业智能化升级服务提供商</t>
  </si>
  <si>
    <t>华夏创投资（深圳）有限公司</t>
  </si>
  <si>
    <t>明耀太阳能</t>
  </si>
  <si>
    <t>光伏电站支架系统解决方案提供商</t>
  </si>
  <si>
    <t>1500万元</t>
  </si>
  <si>
    <t>万拿机器人</t>
  </si>
  <si>
    <t>机器人灵巧手研发商</t>
  </si>
  <si>
    <t>初心资本</t>
  </si>
  <si>
    <t>美思先端</t>
  </si>
  <si>
    <t>创新型MEMS传感器解决方案供应商</t>
  </si>
  <si>
    <t>骑宇新能源</t>
  </si>
  <si>
    <t>通赛投资</t>
  </si>
  <si>
    <t>Snapmaker</t>
  </si>
  <si>
    <t>全球消费级3D打印品牌</t>
  </si>
  <si>
    <t>美团，高瓴创投领投，顺为资本、美团龙珠、南山战新投、同创伟业、东证资本跟投</t>
  </si>
  <si>
    <t>清云智能</t>
  </si>
  <si>
    <t>家庭服务机器人研发商</t>
  </si>
  <si>
    <t>万世资本，华业天成</t>
  </si>
  <si>
    <t>金石三维</t>
  </si>
  <si>
    <t>全品类增材制造综合解决方案提供商</t>
  </si>
  <si>
    <t>盛世投资，成都经开产投基金，容亿投资，旭宁创新投资，长江产业集团，中银粤财</t>
  </si>
  <si>
    <t>手智创新</t>
  </si>
  <si>
    <t>人形机器人整机及零部件研发商</t>
  </si>
  <si>
    <t>瑞江投资</t>
  </si>
  <si>
    <t>墨影科技</t>
  </si>
  <si>
    <t>移动协作机器人及智能制造解决方案提供商</t>
  </si>
  <si>
    <t>九合创投，华民投</t>
  </si>
  <si>
    <t>Pre-A1轮</t>
  </si>
  <si>
    <t>鼎晖投资领投，南京市创新投资集团、金固股份、城濮投资、金景资本跟投</t>
  </si>
  <si>
    <t>无论科技</t>
  </si>
  <si>
    <t>多模态交互机器人研发商</t>
  </si>
  <si>
    <t>滴滴出行等</t>
  </si>
  <si>
    <t>易行机器人</t>
  </si>
  <si>
    <t>AGV自动搬运解决方案提供商</t>
  </si>
  <si>
    <t>九派资本</t>
  </si>
  <si>
    <t>戎洲芯科技</t>
  </si>
  <si>
    <t>半导体电子湿化学品检测技术研发商</t>
  </si>
  <si>
    <t>金雨茂物，华颖投资，奉创投</t>
  </si>
  <si>
    <t>灵初智能</t>
  </si>
  <si>
    <t>国开科创，彬复资本，华建函数，沃得尔，国中资本，长飞基金，元禾控股，沃赋创投，海通创意资本</t>
  </si>
  <si>
    <t>巨蟹智能</t>
  </si>
  <si>
    <t>智能驱动与高性能机器人零部件制造商</t>
  </si>
  <si>
    <t>优宝特机器人</t>
  </si>
  <si>
    <t>腿足式机器人产品开发商</t>
  </si>
  <si>
    <t>济南市财政投资基金领投，达信致远、山东省国投等跟投</t>
  </si>
  <si>
    <t>希夕智能</t>
  </si>
  <si>
    <t>食品加工行业具身智能机器人研发商</t>
  </si>
  <si>
    <t>宁波创投领投，威海国融基金、盛景嘉成跟投</t>
  </si>
  <si>
    <t>开拓光电</t>
  </si>
  <si>
    <t>特种光纤及器件制造商</t>
  </si>
  <si>
    <t>盈港资本</t>
  </si>
  <si>
    <t>派镀科技</t>
  </si>
  <si>
    <t>真空镀膜解决方案提供商</t>
  </si>
  <si>
    <t>同创伟业，创新工场，君联资本</t>
  </si>
  <si>
    <t>锂硅新材</t>
  </si>
  <si>
    <t>超薄锂金属负极材料研发商</t>
  </si>
  <si>
    <t>峰和资本</t>
  </si>
  <si>
    <t>迦智科技</t>
  </si>
  <si>
    <t>智能移动作业机器人研发商</t>
  </si>
  <si>
    <t>C++轮</t>
  </si>
  <si>
    <t>1.8亿元</t>
  </si>
  <si>
    <t>财通资本，永禧资产</t>
  </si>
  <si>
    <t>山东未来机器人</t>
  </si>
  <si>
    <t>深海特种作业设备提供商</t>
  </si>
  <si>
    <t>建元基金，中芯聚源，网宿科技等</t>
  </si>
  <si>
    <t>Reso</t>
  </si>
  <si>
    <t>户外运动耳机研发生产商</t>
  </si>
  <si>
    <t>中芯聚源，高瓴创投，拓野資本</t>
  </si>
  <si>
    <t>旷途科技</t>
  </si>
  <si>
    <t>机械设备制造商</t>
  </si>
  <si>
    <t>硅港资本</t>
  </si>
  <si>
    <t>膜介领航</t>
  </si>
  <si>
    <t>电池膜材料研发商</t>
  </si>
  <si>
    <t>武岳峰科创</t>
  </si>
  <si>
    <t>因时机器人</t>
  </si>
  <si>
    <t>微型精密运控零部件及灵巧手研发商</t>
  </si>
  <si>
    <t>中移和创投资，顺禧基金，博原资本，深创投</t>
  </si>
  <si>
    <t>华创智企</t>
  </si>
  <si>
    <t>工业自动化核心零部件及相关软件系统开发商</t>
  </si>
  <si>
    <t>厦门钨业</t>
  </si>
  <si>
    <t>镭明激光</t>
  </si>
  <si>
    <t>高端工业应用超精密激光设备研发商</t>
  </si>
  <si>
    <t>壹嘉金投，中财融商</t>
  </si>
  <si>
    <t>苏磁智能</t>
  </si>
  <si>
    <t>磁悬浮特种电机设备研发商</t>
  </si>
  <si>
    <t>毅达资本</t>
  </si>
  <si>
    <t>合肥奕瑞</t>
  </si>
  <si>
    <t>硅基OLED背板研发生产商</t>
  </si>
  <si>
    <t>合肥市建投集团</t>
  </si>
  <si>
    <t>睿尔曼智能</t>
  </si>
  <si>
    <t>超轻量仿人机械臂研发商</t>
  </si>
  <si>
    <t>金鼎资本，北京上河动量</t>
  </si>
  <si>
    <t>临界点</t>
  </si>
  <si>
    <t>灵巧手产品研发商</t>
  </si>
  <si>
    <t>蓝驰创投、高瓴创投领投</t>
  </si>
  <si>
    <t>安徽力翔</t>
  </si>
  <si>
    <t>电池结构件研发生产商</t>
  </si>
  <si>
    <t>桉树资本</t>
  </si>
  <si>
    <t>星钥半导体</t>
  </si>
  <si>
    <t>硅基Micro-LED产品研发商</t>
  </si>
  <si>
    <t>东方国资，中芯聚源，洛阳科创，基石资本</t>
  </si>
  <si>
    <t>浙江智鼎</t>
  </si>
  <si>
    <t>龙旗科技，智元机器人</t>
  </si>
  <si>
    <t>致德新能源</t>
  </si>
  <si>
    <t>高能量密度锂电池复合材料研发商</t>
  </si>
  <si>
    <t>瑞华控股，望千私募</t>
  </si>
  <si>
    <t>现象光伏</t>
  </si>
  <si>
    <t>光伏及半导体新材料研发商</t>
  </si>
  <si>
    <t>南山战新投，普乐创投等</t>
  </si>
  <si>
    <t>速方新能源</t>
  </si>
  <si>
    <t>高性能富锂锰基正极材料生产商</t>
  </si>
  <si>
    <t>领屹基金</t>
  </si>
  <si>
    <t>蒙楷特</t>
  </si>
  <si>
    <t>武创投</t>
  </si>
  <si>
    <t>橡树清溪</t>
  </si>
  <si>
    <t>麟阁创投</t>
  </si>
  <si>
    <t>中科精工</t>
  </si>
  <si>
    <t>光电半导体智能封装与检测装备制造商</t>
  </si>
  <si>
    <t>弘晖基金，珠海高新金投，前海弘泰</t>
  </si>
  <si>
    <t>光帆科技</t>
  </si>
  <si>
    <t>AI硬件智能体产品研发商</t>
  </si>
  <si>
    <t>智身科技</t>
  </si>
  <si>
    <t>时代伯乐</t>
  </si>
  <si>
    <t>松延动力</t>
  </si>
  <si>
    <t>中金资本</t>
  </si>
  <si>
    <t>罗威斯数控</t>
  </si>
  <si>
    <t>数控机床及智能装备研发生产商</t>
  </si>
  <si>
    <t>常熟国发创投，金雨茂物</t>
  </si>
  <si>
    <t>超控数科</t>
  </si>
  <si>
    <t>制造装备智能控制系统研发商</t>
  </si>
  <si>
    <t>梯度资本领投，丰嵘投资跟投</t>
  </si>
  <si>
    <t>目心智能</t>
  </si>
  <si>
    <t>智能机器人解决方案提供商</t>
  </si>
  <si>
    <t>因势新材料</t>
  </si>
  <si>
    <t>半导体电子材料及新能源电池材料研发商</t>
  </si>
  <si>
    <t>天使+轮</t>
  </si>
  <si>
    <t>奇瑞控股领投，祥峰投资、安徽国控集团、小米科技跟投</t>
  </si>
  <si>
    <t>深穹星核</t>
  </si>
  <si>
    <t>具身智能大脑开发商</t>
  </si>
  <si>
    <t>友谊时光、元禾原点领投，中科元创跟投</t>
  </si>
  <si>
    <t>具微科技</t>
  </si>
  <si>
    <t>四足机器人研发商</t>
  </si>
  <si>
    <t>正强股份领投，鲁信创投、豪恩汽电、壹连科技跟投</t>
  </si>
  <si>
    <t>赛迈测控</t>
  </si>
  <si>
    <t>半导体射频测试设备制造商</t>
  </si>
  <si>
    <t>十月资本，毅达资本，元禾厚望，元禾控股，南通科创集团，苏创投</t>
  </si>
  <si>
    <t>浙江人形</t>
  </si>
  <si>
    <t>人形机器人智能感控技术研发商</t>
  </si>
  <si>
    <t>4.5亿元</t>
  </si>
  <si>
    <t>招商局集团，迦智科技，智昌科技，越秀资本，通商集团等</t>
  </si>
  <si>
    <t>广东精锐智能</t>
  </si>
  <si>
    <t>3D打印技术综合解决方案提供商</t>
  </si>
  <si>
    <t>珠海高新金投</t>
  </si>
  <si>
    <t>赛富乐斯</t>
  </si>
  <si>
    <t>原位量子点micro-LED解决方案提供商</t>
  </si>
  <si>
    <t>博华资本</t>
  </si>
  <si>
    <t>华鑫芯光</t>
  </si>
  <si>
    <t>高功率半导体激光芯片研发商</t>
  </si>
  <si>
    <t>苏高新金控，盈富泰克，中兵投资</t>
  </si>
  <si>
    <t>智平方</t>
  </si>
  <si>
    <t>通用智能具身终端产品研发商</t>
  </si>
  <si>
    <t>常高新集团，中国中车，成都天投，无锡梁溪科技城发展集团，城濮投资</t>
  </si>
  <si>
    <t>朗雄能源</t>
  </si>
  <si>
    <t>电力储能技术开发商</t>
  </si>
  <si>
    <t>吴江创投，中卫颐和</t>
  </si>
  <si>
    <t>常氢科技</t>
  </si>
  <si>
    <t>氢能技术研发与工程服务提供商</t>
  </si>
  <si>
    <t>元科创投</t>
  </si>
  <si>
    <t>晶核能源</t>
  </si>
  <si>
    <t>全固态电池电芯与系统解决方案供应商</t>
  </si>
  <si>
    <t>天空工场创投基金领投</t>
  </si>
  <si>
    <t>聚复科技</t>
  </si>
  <si>
    <t>3D打印材料研发生产商</t>
  </si>
  <si>
    <t>复旦科创领投</t>
  </si>
  <si>
    <t>芯信光</t>
  </si>
  <si>
    <t>光通信器件研发商</t>
  </si>
  <si>
    <t>致道资本</t>
  </si>
  <si>
    <t>诺因智能</t>
  </si>
  <si>
    <t>家用等身机器人研发商</t>
  </si>
  <si>
    <t>钟鼎资本，光源资本</t>
  </si>
  <si>
    <t>智能派</t>
  </si>
  <si>
    <t>消费级光固化3D打印品牌</t>
  </si>
  <si>
    <t>深高新投，合钧成长投资</t>
  </si>
  <si>
    <t>黑冕光电</t>
  </si>
  <si>
    <t>钙钛矿光伏技术解决方案提供商</t>
  </si>
  <si>
    <t>富佳股份，泰有投资</t>
  </si>
  <si>
    <t>京清数电</t>
  </si>
  <si>
    <t>储能电力电子功率变换器件研发商</t>
  </si>
  <si>
    <t>厦门未来显示技术研究院</t>
  </si>
  <si>
    <t>新型显示技术研发商</t>
  </si>
  <si>
    <t>海信家电</t>
  </si>
  <si>
    <t>牛瓦时克</t>
  </si>
  <si>
    <t>新兴应用领域电池能源系统研发商</t>
  </si>
  <si>
    <t>同星科技</t>
  </si>
  <si>
    <t>Mirae Asset，洪泰基金，纳爱斯集团，毅达资本，深创投，鸾腾投资，北创投</t>
  </si>
  <si>
    <t>杭叉智能</t>
  </si>
  <si>
    <t>移动机器人及智能物流解决方案提供商</t>
  </si>
  <si>
    <t>兴华鼎立</t>
  </si>
  <si>
    <t>启智机器人</t>
  </si>
  <si>
    <t>7000万元</t>
  </si>
  <si>
    <t>上海电科，国投招商，雅瑞资本，云汉基金，鸠创投</t>
  </si>
  <si>
    <t>中科第五纪</t>
  </si>
  <si>
    <t>通用智身机器人及技术研发商</t>
  </si>
  <si>
    <t>鼎晖投资，国海创新资本，复琢投资</t>
  </si>
  <si>
    <t>嘉际环控</t>
  </si>
  <si>
    <t>集成电路高端装备及服务供应商</t>
  </si>
  <si>
    <t>西高投</t>
  </si>
  <si>
    <t>高芯众科</t>
  </si>
  <si>
    <t>半导体真空腔体零部件制造商</t>
  </si>
  <si>
    <t>禄昶投资，东吴创投</t>
  </si>
  <si>
    <t>沸点密封</t>
  </si>
  <si>
    <t>半导体密封件研发商</t>
  </si>
  <si>
    <t>众行资本，高信资本，深创投</t>
  </si>
  <si>
    <t>智在无界</t>
  </si>
  <si>
    <t>通用具身智能及机器人技术研发商</t>
  </si>
  <si>
    <t>灵心巧手，领航新界，考拉基金</t>
  </si>
  <si>
    <t>海宁晶科</t>
  </si>
  <si>
    <t>太阳能光伏服务解决方案提供商</t>
  </si>
  <si>
    <t>30亿元</t>
  </si>
  <si>
    <t>兴银投资，东方资产</t>
  </si>
  <si>
    <t>锐莱热控</t>
  </si>
  <si>
    <t>高端散热产品研发制造商</t>
  </si>
  <si>
    <t>元禾原点领投，金雨茂物、慧眼资本跟投</t>
  </si>
  <si>
    <t>维新优科</t>
  </si>
  <si>
    <t>半导体零部件生产商</t>
  </si>
  <si>
    <t>芯联资本</t>
  </si>
  <si>
    <t>易感芯科技</t>
  </si>
  <si>
    <t>智能传感器设计研发商</t>
  </si>
  <si>
    <t>领阳投资，安徽国控集团</t>
  </si>
  <si>
    <t>德塔源创</t>
  </si>
  <si>
    <t>出资设立</t>
  </si>
  <si>
    <t>乐聚机器人，智元机器人，通智科技</t>
  </si>
  <si>
    <t>光启之境</t>
  </si>
  <si>
    <t>AI智能终端设备研发商</t>
  </si>
  <si>
    <t>达晨财智，深圳天使母基金</t>
  </si>
  <si>
    <t>丽天智能</t>
  </si>
  <si>
    <t>光伏能源智能机器人研发商</t>
  </si>
  <si>
    <t>长石资本，耀途资本</t>
  </si>
  <si>
    <t>慧感智能</t>
  </si>
  <si>
    <t>柔性触觉电子皮肤研发商</t>
  </si>
  <si>
    <t>雅瑞资本</t>
  </si>
  <si>
    <t>九纵智能</t>
  </si>
  <si>
    <t>半导体全制程AOI检测服务商</t>
  </si>
  <si>
    <t>国元股权</t>
  </si>
  <si>
    <t>至简动力</t>
  </si>
  <si>
    <t>加速仿生机器人研发商</t>
  </si>
  <si>
    <t>君联资本，腾讯投资，阿里巴巴</t>
  </si>
  <si>
    <t>镭芯光电</t>
  </si>
  <si>
    <t>半导体激光芯片研发生产商</t>
  </si>
  <si>
    <t>知风之自</t>
  </si>
  <si>
    <t>动易科技</t>
  </si>
  <si>
    <t>AI通用人形机器人研发商</t>
  </si>
  <si>
    <t>天使++轮</t>
  </si>
  <si>
    <t>海珠城发，广州产投，金雨茂物，锡创投，金沙江联合资本，达泰资本，复琢投资，普超资本</t>
  </si>
  <si>
    <t>冠动力</t>
  </si>
  <si>
    <t>新能源技术及电池修复服务商</t>
  </si>
  <si>
    <t>中科源芯</t>
  </si>
  <si>
    <t>薄膜铌酸锂光电子器件研发商</t>
  </si>
  <si>
    <t>远东卓越</t>
  </si>
  <si>
    <t>半导体先进封装封测设备整机制造商</t>
  </si>
  <si>
    <t>南通投管领投，南通嘉益跟投</t>
  </si>
  <si>
    <t>思纳睿</t>
  </si>
  <si>
    <t>LED显示屏研发生产商</t>
  </si>
  <si>
    <t>5000万元</t>
  </si>
  <si>
    <t>云合智能</t>
  </si>
  <si>
    <t>智能机器人研发生产商</t>
  </si>
  <si>
    <t>西安电科科大创投基金</t>
  </si>
  <si>
    <t>维力传感</t>
  </si>
  <si>
    <t>人形机器人核心部件制造商</t>
  </si>
  <si>
    <t>武创院</t>
  </si>
  <si>
    <t>晶源光电</t>
  </si>
  <si>
    <t>光电子器件生产销售商</t>
  </si>
  <si>
    <t>中意宁波生态园控股集团，慧眼资本</t>
  </si>
  <si>
    <t>澳威激光</t>
  </si>
  <si>
    <t>光学器件研发商</t>
  </si>
  <si>
    <t>合创资本</t>
  </si>
  <si>
    <t>研诣科技</t>
  </si>
  <si>
    <t>智能传感装备与光传感技术研发商</t>
  </si>
  <si>
    <t>常州创新投，常高新集团</t>
  </si>
  <si>
    <t>XDream Robotics</t>
  </si>
  <si>
    <t>陪伴机器人研发商</t>
  </si>
  <si>
    <t>中金资本，厚雪资本，沃赋创投</t>
  </si>
  <si>
    <t>韵申科技</t>
  </si>
  <si>
    <t>半导体材料技术一站式解决方案提供商</t>
  </si>
  <si>
    <t>境相科技</t>
  </si>
  <si>
    <t>柔性触觉传感器技术研发商</t>
  </si>
  <si>
    <t>中科创星，浦东创投集团</t>
  </si>
  <si>
    <t>赛航新能源</t>
  </si>
  <si>
    <t>太阳能光伏产品研发制造商</t>
  </si>
  <si>
    <t>识刻创新</t>
  </si>
  <si>
    <t>智能感知与机器视觉技术研发商</t>
  </si>
  <si>
    <t>蓝驰创投，高瓴创投，红杉中国，变量资本</t>
  </si>
  <si>
    <t>上金数控</t>
  </si>
  <si>
    <t>高精度金属铣削数控机床研发商</t>
  </si>
  <si>
    <t>领军创投，城运集团</t>
  </si>
  <si>
    <t>视塔机器人</t>
  </si>
  <si>
    <t>机器人触觉感知技术研发商</t>
  </si>
  <si>
    <t>险峰K2VC</t>
  </si>
  <si>
    <t>久久精工</t>
  </si>
  <si>
    <t>精密数控机床研发商</t>
  </si>
  <si>
    <t>鲁汶仪器</t>
  </si>
  <si>
    <t>半导体关键装备及解决方案供应商</t>
  </si>
  <si>
    <t>国投创业，上海国际集团，梧桐树资本，联升资本，徐州产业发展基金，国际国方，中金资本，舜宇产业基金，骆驼资本</t>
  </si>
  <si>
    <t>友机技术</t>
  </si>
  <si>
    <t>机床及工艺智能化技术服务提供商</t>
  </si>
  <si>
    <t>长盈精密</t>
  </si>
  <si>
    <t>欣园投资</t>
  </si>
  <si>
    <t>龙旗科技</t>
  </si>
  <si>
    <t>智能产品及服务提供商</t>
  </si>
  <si>
    <t>5650万元</t>
  </si>
  <si>
    <t>高通创投，江西国控，韦尔股份，香港裕同印刷有限公司，观澜资本，Endless Growth</t>
  </si>
  <si>
    <t>炎和科技</t>
  </si>
  <si>
    <t>钙钛矿太阳能电池组件及其相关设备研发生产商</t>
  </si>
  <si>
    <t>A1轮</t>
  </si>
  <si>
    <t>国科投资，汇芯投资</t>
  </si>
  <si>
    <t>嘉阑光电</t>
  </si>
  <si>
    <t>智能光电成像传感技术研发商</t>
  </si>
  <si>
    <t>IDG资本，云晖资本</t>
  </si>
  <si>
    <t>航瑞电子</t>
  </si>
  <si>
    <t>新能源汽车零部件生产商</t>
  </si>
  <si>
    <t>芯感未来</t>
  </si>
  <si>
    <t>传感器技术研发与应用服务商</t>
  </si>
  <si>
    <t>信雅达，Cananga Investment One Limited，正轩投资</t>
  </si>
  <si>
    <t>离子能源</t>
  </si>
  <si>
    <t>全固态电池研发商</t>
  </si>
  <si>
    <t>国中资本，贵州科技风投，安仕新能源，深圳中基等</t>
  </si>
  <si>
    <t>壹金新能源</t>
  </si>
  <si>
    <t>高性能锂电池材料研发商</t>
  </si>
  <si>
    <t>四川产业振兴基金</t>
  </si>
  <si>
    <t>本元智慧</t>
  </si>
  <si>
    <t>磁悬浮高速电机及控制技术研发应用商</t>
  </si>
  <si>
    <t>融云创新</t>
  </si>
  <si>
    <t>无人配送机器人产品解决方案服务商</t>
  </si>
  <si>
    <t>贵州科技风投</t>
  </si>
  <si>
    <t>长晟创新</t>
  </si>
  <si>
    <t>电池零配件生产商</t>
  </si>
  <si>
    <t>中瑞股份，常州市政府投资基金，伟驰投资</t>
  </si>
  <si>
    <t>金顺坤精工</t>
  </si>
  <si>
    <t>钣金零部件加工制造商</t>
  </si>
  <si>
    <t>瑞识科技</t>
  </si>
  <si>
    <t>半导体光芯片解决方案提供商</t>
  </si>
  <si>
    <t>西科控股，开源思创，合肥产投集团，西高投，西安财金，合肥创新投资，深创投，农银无锡基金等</t>
  </si>
  <si>
    <t>镜像生命</t>
  </si>
  <si>
    <t>植入式智能传感器研发商</t>
  </si>
  <si>
    <t>云中私募</t>
  </si>
  <si>
    <t>元禾控股，南通科创集团，国发创投</t>
  </si>
  <si>
    <t>姜歌机器人</t>
  </si>
  <si>
    <t>仓储物流AMR机器人解决方案提供商</t>
  </si>
  <si>
    <t>枣庄新动能</t>
  </si>
  <si>
    <t>自变量机器人</t>
  </si>
  <si>
    <t>通用具身智能大模型研发商</t>
  </si>
  <si>
    <t>10亿元</t>
  </si>
  <si>
    <t>字节跳动，红杉中国，京国瑞管理公司，深创投，南山战新投，锡创投等</t>
  </si>
  <si>
    <t>Futuring</t>
  </si>
  <si>
    <t>家庭服务具身机器人研发商</t>
  </si>
  <si>
    <t>真格基金领投，联新资本、源来资本等跟投</t>
  </si>
  <si>
    <t>卓镭激光</t>
  </si>
  <si>
    <t>国产综合性激光器供应商</t>
  </si>
  <si>
    <t>深高新投，冯源资本，中金资本，西科控股，中科创星，建发新兴投资</t>
  </si>
  <si>
    <t>铭毅智能</t>
  </si>
  <si>
    <t>精密零部件及自动化设备生产商</t>
  </si>
  <si>
    <t>卓誉瑞创</t>
  </si>
  <si>
    <t>智能机器人研发销售服务商</t>
  </si>
  <si>
    <t>北京海国融智</t>
  </si>
  <si>
    <t>清正源华</t>
  </si>
  <si>
    <t>超高速电主轴驱动器研发商</t>
  </si>
  <si>
    <t>远信储能</t>
  </si>
  <si>
    <t>储能系统集成解决方案供应商</t>
  </si>
  <si>
    <t>同创伟业领投，正海资本、卓源亚洲等跟投</t>
  </si>
  <si>
    <t>浙江科聪</t>
  </si>
  <si>
    <t>移动机器人自主导航控制系统整体解决方案提供商</t>
  </si>
  <si>
    <t>杭实集团，金蚂投资</t>
  </si>
  <si>
    <t>和光同程</t>
  </si>
  <si>
    <t>光伏电池片研发生产商</t>
  </si>
  <si>
    <t>四川产业振兴基金，四川发展</t>
  </si>
  <si>
    <t>爱新凯</t>
  </si>
  <si>
    <t>3D打印技术及增材制造装备研发商</t>
  </si>
  <si>
    <t>芒果企业</t>
  </si>
  <si>
    <t>铱加科技</t>
  </si>
  <si>
    <t>光通信模块及光组件生产商</t>
  </si>
  <si>
    <t>正菱创投</t>
  </si>
  <si>
    <t>中科意创</t>
  </si>
  <si>
    <t>新能源汽车功率半导体及系统方案供应商</t>
  </si>
  <si>
    <t>中科英智</t>
  </si>
  <si>
    <t>Zeno AI</t>
  </si>
  <si>
    <t>人工智能与机器人技术服务商</t>
  </si>
  <si>
    <t>赛意产业基金</t>
  </si>
  <si>
    <t>柔胜刚</t>
  </si>
  <si>
    <t>工业AI软件开发商</t>
  </si>
  <si>
    <t>绿的谐波领投，国发文鑫跟投</t>
  </si>
  <si>
    <t>金浔股份</t>
  </si>
  <si>
    <t>有色金属新能源新材料产业链开发运营商</t>
  </si>
  <si>
    <t>嘉能可，磐泽资产，North Rock，华夏基金（香港），新亞洲富怡資產管理有限公司，聯域集團有限公司，Zhengxin Group Investment Limited，欣旺达</t>
  </si>
  <si>
    <t>云松鼠智能</t>
  </si>
  <si>
    <t>工业视觉检测与AI智能识别技术研发商</t>
  </si>
  <si>
    <t>自变量机器人，中关村资本</t>
  </si>
  <si>
    <t>寅成智能</t>
  </si>
  <si>
    <t>智能机器人及软件开发生产商</t>
  </si>
  <si>
    <t>德同资本</t>
  </si>
  <si>
    <t>友山新材料</t>
  </si>
  <si>
    <t>磷酸铁锂产业开发提供商</t>
  </si>
  <si>
    <t>华友控股，黔晟国资</t>
  </si>
  <si>
    <t>工布智造</t>
  </si>
  <si>
    <t>非标结构件数字化生产解决方案及智能工作站提供商</t>
  </si>
  <si>
    <t>经纬创投</t>
  </si>
  <si>
    <t>矩阵科技</t>
  </si>
  <si>
    <t>薄膜材料制备及高通量材料制备系统开发商</t>
  </si>
  <si>
    <t>中国国新，粤财基金</t>
  </si>
  <si>
    <t>开物智能</t>
  </si>
  <si>
    <t>高端干式真空泵及零部件研发商</t>
  </si>
  <si>
    <t>派诺资本，镇海产业</t>
  </si>
  <si>
    <t>白马科技</t>
  </si>
  <si>
    <t>锂电园林设备制造商</t>
  </si>
  <si>
    <t>浙商资本，冰川网络，浙创投，招银国际，浙商证券，云启资本</t>
  </si>
  <si>
    <t>鹑火光电</t>
  </si>
  <si>
    <t>钙钛矿太阳能电池组件研发商</t>
  </si>
  <si>
    <t>四川产业振兴基金，港信基金</t>
  </si>
  <si>
    <t>巨跃齿轮</t>
  </si>
  <si>
    <t>机械传动齿轮及高精密齿轮生产商</t>
  </si>
  <si>
    <t>温岭国投，中信金石，晨熹资本，华夏恒天资本，浙江省创新投资集团，财通资本，浙富源沣</t>
  </si>
  <si>
    <t>纤传科技</t>
  </si>
  <si>
    <t>飞秒激光成套解决方案提供商</t>
  </si>
  <si>
    <t>同济控股</t>
  </si>
  <si>
    <t>九宇建木</t>
  </si>
  <si>
    <t>3D打印基础材料研发商</t>
  </si>
  <si>
    <t>南京一合</t>
  </si>
  <si>
    <t>友阳光电</t>
  </si>
  <si>
    <t>高端光通信及传感器件研发商</t>
  </si>
  <si>
    <t>深创投</t>
  </si>
  <si>
    <t>阿洛纳智能</t>
  </si>
  <si>
    <t>机器视觉产品研发商</t>
  </si>
  <si>
    <t>藕舫天使</t>
  </si>
  <si>
    <t>中关村资本</t>
  </si>
  <si>
    <t>原子重塑</t>
  </si>
  <si>
    <t>消费级3D打印机产品研发商</t>
  </si>
  <si>
    <t>苏州民营资本投资，初辉资本，天空工场创投基金</t>
  </si>
  <si>
    <t>功夫机器人</t>
  </si>
  <si>
    <t>工业移动机器人本体及系统研发商</t>
  </si>
  <si>
    <t>仁毅资本</t>
  </si>
  <si>
    <t>金顿激光</t>
  </si>
  <si>
    <t>智能激光装备供应商</t>
  </si>
  <si>
    <t>成为资本，国翼投资等</t>
  </si>
  <si>
    <t>星联未来SATELLAI</t>
  </si>
  <si>
    <t>宠物智能穿戴硬件产品研发商</t>
  </si>
  <si>
    <t>国香资本领投，零一创投跟投</t>
  </si>
  <si>
    <t>奥创光子</t>
  </si>
  <si>
    <t>超快激光器制造商</t>
  </si>
  <si>
    <t>精确资本</t>
  </si>
  <si>
    <t>山西国科</t>
  </si>
  <si>
    <t>光电半导体技术研发商</t>
  </si>
  <si>
    <t>山证投资，太行产业基金</t>
  </si>
  <si>
    <t>逐际动力</t>
  </si>
  <si>
    <t>基石资本，宏叡投资，东方富海，财鑫集团，福田产投</t>
  </si>
  <si>
    <t>爱沃新能</t>
  </si>
  <si>
    <t>锂离子电池正极材料研发生产商</t>
  </si>
  <si>
    <t>英豪资本</t>
  </si>
  <si>
    <t>优界科技</t>
  </si>
  <si>
    <t>新能源与半导体高端装备供应商</t>
  </si>
  <si>
    <t>光大控股</t>
  </si>
  <si>
    <t>希诚新材</t>
  </si>
  <si>
    <t>新型碳材料导电剂研发制造商</t>
  </si>
  <si>
    <t>贵州科技风投，金坛控股</t>
  </si>
  <si>
    <t>联合光科</t>
  </si>
  <si>
    <t>光学元件供应商</t>
  </si>
  <si>
    <t>国投创业，上海国盛集团，中芯聚源，同创伟业，深重投集团</t>
  </si>
  <si>
    <t>芯辰半导体</t>
  </si>
  <si>
    <t>半导体光电芯片研发商</t>
  </si>
  <si>
    <t>元禾控股</t>
  </si>
  <si>
    <t>海珀科技</t>
  </si>
  <si>
    <t>激光微加工设备制造商</t>
  </si>
  <si>
    <t>粤科金融集团，靖锦投资</t>
  </si>
  <si>
    <t>白杨智能</t>
  </si>
  <si>
    <t>特种具身智能产品研发商</t>
  </si>
  <si>
    <t>海通创新，京国瑞管理公司，中金资本，中信建投资本，长兴基金，先进技术成果长三角转化中心，卓远基金，中科海讯，翠湖基金，泰雅语松，中安置信等</t>
  </si>
  <si>
    <t>可以科技</t>
  </si>
  <si>
    <t>消费级机器人研发商</t>
  </si>
  <si>
    <t>吴中金控集团、元禾控股领投，基石资本、黎万强、蓝驰创投等跟投</t>
  </si>
  <si>
    <t>傲粒科技</t>
  </si>
  <si>
    <t>高精度MEMS传感器及解决方案提供商</t>
  </si>
  <si>
    <t>顺禧基金</t>
  </si>
  <si>
    <t>亿能智光</t>
  </si>
  <si>
    <t>光电子器件制造商</t>
  </si>
  <si>
    <t>中科创星</t>
  </si>
  <si>
    <t>玖恩智能</t>
  </si>
  <si>
    <t>超高纯度气体纯化设备制造商</t>
  </si>
  <si>
    <t>光谷产业投资</t>
  </si>
  <si>
    <t>高业科技</t>
  </si>
  <si>
    <t>中新基金</t>
  </si>
  <si>
    <t>磁验科技</t>
  </si>
  <si>
    <t>量子磁传感产品研发商</t>
  </si>
  <si>
    <t>如山资本，青云创途</t>
  </si>
  <si>
    <t>光亚智能</t>
  </si>
  <si>
    <t>锂电池检测测试设备制造商</t>
  </si>
  <si>
    <t>国金鼎兴</t>
  </si>
  <si>
    <t>全德学资本</t>
  </si>
  <si>
    <t>超创电子</t>
  </si>
  <si>
    <t>一站式智能视觉解决方案提供商</t>
  </si>
  <si>
    <t>长沙产投集团，长沙科投，中盈发展</t>
  </si>
  <si>
    <t>沛塬电子</t>
  </si>
  <si>
    <t>高功率密度集成电源模组研发商</t>
  </si>
  <si>
    <t>高瓴创投</t>
  </si>
  <si>
    <t>博华精密</t>
  </si>
  <si>
    <t>高端电主轴设计及研发商</t>
  </si>
  <si>
    <t>普华资本</t>
  </si>
  <si>
    <t>路远智能</t>
  </si>
  <si>
    <t>高端智能贴片机制造商</t>
  </si>
  <si>
    <t>博时基金，毅达资本，横店集团</t>
  </si>
  <si>
    <t>华建函数，创新工场，普华资本</t>
  </si>
  <si>
    <t>Looki</t>
  </si>
  <si>
    <t>多模态AI穿戴设备研发商</t>
  </si>
  <si>
    <t>2000万美元</t>
  </si>
  <si>
    <t>蚂蚁集团领投，美团龙珠、华登国际、中关村资本、贝塔斯曼亚洲投资基金、阿尔法公社、同歌创投跟投</t>
  </si>
  <si>
    <t>SIMT钠远新材</t>
  </si>
  <si>
    <t>钠离子电池正极材料研发制造商</t>
  </si>
  <si>
    <t>国芯创投，资略资本</t>
  </si>
  <si>
    <t>固镁科技</t>
  </si>
  <si>
    <t>镁合金半固态零部件研发商</t>
  </si>
  <si>
    <t>青禾资本</t>
  </si>
  <si>
    <t>泽达半导体</t>
  </si>
  <si>
    <t>光通信芯片及器件研发商</t>
  </si>
  <si>
    <t>衢州工业控股集团</t>
  </si>
  <si>
    <t>香农科技</t>
  </si>
  <si>
    <t>分布式光纤传感系统研发商</t>
  </si>
  <si>
    <t>吉林科技投资</t>
  </si>
  <si>
    <t>予格新能源</t>
  </si>
  <si>
    <t>动力电池研发商</t>
  </si>
  <si>
    <t>港信基金</t>
  </si>
  <si>
    <t>墨迅科技</t>
  </si>
  <si>
    <t>无刷电机及车用执行器开发制造商</t>
  </si>
  <si>
    <t>清源投资</t>
  </si>
  <si>
    <t>德智矩阵</t>
  </si>
  <si>
    <t>泛半导体AI检测解决方案提供商</t>
  </si>
  <si>
    <t>A轮/A+轮</t>
  </si>
  <si>
    <t>元禾厚望领投，苏高新集团等跟投</t>
  </si>
  <si>
    <t>中体新材</t>
  </si>
  <si>
    <t>3D打印金属粉末材料研发生产商</t>
  </si>
  <si>
    <t>菁智辰基</t>
  </si>
  <si>
    <t>智能机器人研发销售商</t>
  </si>
  <si>
    <t>智元机器人</t>
  </si>
  <si>
    <t>首芯半导体</t>
  </si>
  <si>
    <t>半导体薄膜沉积设备研发制造商</t>
  </si>
  <si>
    <t>中科飞龙</t>
  </si>
  <si>
    <t>高端传感器产品研发生产商</t>
  </si>
  <si>
    <t>B1轮</t>
  </si>
  <si>
    <t>金石友志</t>
  </si>
  <si>
    <t>3D打印及人工智能科技服务商</t>
  </si>
  <si>
    <t>成都经开产投基金</t>
  </si>
  <si>
    <t>沃森自动化</t>
  </si>
  <si>
    <t>工业自动化控制技术研发商</t>
  </si>
  <si>
    <t>海丰至诚</t>
  </si>
  <si>
    <t>镭射传动</t>
  </si>
  <si>
    <t>中高端传动产品及解决方案提供商</t>
  </si>
  <si>
    <t>瑞鹏资产</t>
  </si>
  <si>
    <t>华登国际， 经纬创投，中天汇富，洛阳科创，明势创投</t>
  </si>
  <si>
    <t>元生创新</t>
  </si>
  <si>
    <t>运动传感器研发商</t>
  </si>
  <si>
    <t>光谷产业投资，长江资本，光谷金控，逸飞激光</t>
  </si>
  <si>
    <t>尚专机电</t>
  </si>
  <si>
    <t>轴承齿轮和传动部件制造商</t>
  </si>
  <si>
    <t>高瓴创投，北京国谦投资</t>
  </si>
  <si>
    <t>凯磁科技</t>
  </si>
  <si>
    <t>磁悬浮高速电机研发商</t>
  </si>
  <si>
    <t>金沙江资本</t>
  </si>
  <si>
    <t>友邦科思茂</t>
  </si>
  <si>
    <t>锂离子电池正极材料研发商</t>
  </si>
  <si>
    <t>星源基金</t>
  </si>
  <si>
    <t>白犀牛</t>
  </si>
  <si>
    <t>全栈式无人配送解决方案提供商</t>
  </si>
  <si>
    <t>以骏基金</t>
  </si>
  <si>
    <t>中科卓尔</t>
  </si>
  <si>
    <t>泛半导体光刻掩模版基板材料研发商</t>
  </si>
  <si>
    <t>蜀祥金融，华西金智</t>
  </si>
  <si>
    <t>九派资本，大洋电机，北京上河动量</t>
  </si>
  <si>
    <t>爱微特</t>
  </si>
  <si>
    <t>真空磁悬浮发电机技术研发商</t>
  </si>
  <si>
    <t>薏宸基金</t>
  </si>
  <si>
    <t>影身智能</t>
  </si>
  <si>
    <t>杭州科创集团，东莞科创金融集团，未来科学城，松禾资本</t>
  </si>
  <si>
    <t>世航智能</t>
  </si>
  <si>
    <t>水下机器人及智能无人装备研发商</t>
  </si>
  <si>
    <t>大数长青，华映资本，36氪</t>
  </si>
  <si>
    <t>微纳电子材料</t>
  </si>
  <si>
    <t>电池核心材料研发商</t>
  </si>
  <si>
    <t>宁波市创业投资引导基金，宁波天使投资引导基金</t>
  </si>
  <si>
    <t>清陶能源</t>
  </si>
  <si>
    <t>固态电池材料及设备研发商</t>
  </si>
  <si>
    <t>道得投资</t>
  </si>
  <si>
    <t>奎源精密</t>
  </si>
  <si>
    <t>滚珠丝杠研产商</t>
  </si>
  <si>
    <t>欣和资本</t>
  </si>
  <si>
    <t>智澄AI</t>
  </si>
  <si>
    <t>大模型通用人工智能机器人研发商</t>
  </si>
  <si>
    <t>浙商创投，达泰资本</t>
  </si>
  <si>
    <t>钦实佳美</t>
  </si>
  <si>
    <t>风电智能及高端装备制造商</t>
  </si>
  <si>
    <t>山东发展投资集团</t>
  </si>
  <si>
    <t>冰零科技</t>
  </si>
  <si>
    <t>新能源汽车传感器研发商</t>
  </si>
  <si>
    <t>常州市政府投资基金，国元股权</t>
  </si>
  <si>
    <t>赛诺动力</t>
  </si>
  <si>
    <t>3D打印传动元件制造商</t>
  </si>
  <si>
    <t>东湖高新</t>
  </si>
  <si>
    <t>清听声学</t>
  </si>
  <si>
    <t>声学创新技术研发商</t>
  </si>
  <si>
    <t>兴泰资本，合肥高投</t>
  </si>
  <si>
    <t>悟通感控</t>
  </si>
  <si>
    <t>机器人力学与触觉传感技术研发商</t>
  </si>
  <si>
    <t>鲁信创投领投</t>
  </si>
  <si>
    <t>驭灵科技</t>
  </si>
  <si>
    <t>分拣机器人研发商</t>
  </si>
  <si>
    <t>水木清华校友种子基金</t>
  </si>
  <si>
    <t>桥介数物</t>
  </si>
  <si>
    <t>足式机器人控制系统提供商</t>
  </si>
  <si>
    <t>奇瑞控股领投，深圳天使母基金、沂景资本、钧石创投跟投</t>
  </si>
  <si>
    <t>诣岳科技</t>
  </si>
  <si>
    <t>光电子器件研发商</t>
  </si>
  <si>
    <t>源码资本，经纬创投，红杉中国，钧犀资本，金浦投资</t>
  </si>
  <si>
    <t>富土投资，共青城鹏博，基石资本</t>
  </si>
  <si>
    <t>泰丰智能</t>
  </si>
  <si>
    <t>液压元件及电液集成控制系统研发商</t>
  </si>
  <si>
    <t>青民投资产</t>
  </si>
  <si>
    <t>东霖智行</t>
  </si>
  <si>
    <t>汽车零部件及配件研发制造商</t>
  </si>
  <si>
    <t>润璋基金</t>
  </si>
  <si>
    <t>领硅科技</t>
  </si>
  <si>
    <t>积硅碳负极材料研发商</t>
  </si>
  <si>
    <t>兆威机电</t>
  </si>
  <si>
    <t>微型驱动系统解决方案提供商</t>
  </si>
  <si>
    <t>5.79亿元</t>
  </si>
  <si>
    <t>高瓴资本，Mirae Asset Venture Investment，广发基金，祥峰投资，Factorial Fund，中信建投资本，高毅资产，大成国际，Oakwise，Jump Trading，太湖金谷，拓斯达环球，双城资本，中国银河国际，文盈投资，万源资本，存然资本，民银国际，联域集团等</t>
  </si>
  <si>
    <t>埃斯顿</t>
  </si>
  <si>
    <t>工业自动化解决方案提供商</t>
  </si>
  <si>
    <t>6691万美元</t>
  </si>
  <si>
    <t>嘉实基金，亨通光电，君宜公司，至源控股，海天国际，裕祥，前海合众投资</t>
  </si>
  <si>
    <t>浩纳光电</t>
  </si>
  <si>
    <t>玻璃非球面光学镜片制造商</t>
  </si>
  <si>
    <t>安徽国控资本，川流投资，相城金控</t>
  </si>
  <si>
    <t>芯能创投、优山资本领投，清控金信资本跟投</t>
  </si>
  <si>
    <t>人工生产力</t>
  </si>
  <si>
    <t>AI儿童玩具生产商</t>
  </si>
  <si>
    <t>致远互联</t>
  </si>
  <si>
    <t>小雨智造</t>
  </si>
  <si>
    <t>通用具身智能机器人研发生产商</t>
  </si>
  <si>
    <t>华业天成领投，贵州茅台、招银国际、贵州科技风投、滴滴出行、黎万强跟投</t>
  </si>
  <si>
    <t>1亿美元</t>
  </si>
  <si>
    <t>滨州国投集团</t>
  </si>
  <si>
    <t>蓝蓝科技</t>
  </si>
  <si>
    <t>CNC数控智能加工核心部件研发制造商</t>
  </si>
  <si>
    <t>诚合资本</t>
  </si>
  <si>
    <t>天元兴</t>
  </si>
  <si>
    <t>通用工业具身智能平台</t>
  </si>
  <si>
    <t>弘德投资，盛世投资，海愿资本等</t>
  </si>
  <si>
    <t>中科祥龙</t>
  </si>
  <si>
    <t>高端金属增材装备研发生产商</t>
  </si>
  <si>
    <t>上海国和投资领投，见识投资等跟投</t>
  </si>
  <si>
    <t>力维技术</t>
  </si>
  <si>
    <t>磁悬浮电机及磁悬浮控制系统专业供应商</t>
  </si>
  <si>
    <t>常熟国发创投</t>
  </si>
  <si>
    <t>上汽集团、中金资本等领投，美团龙珠、红杉中国、京国瑞管理公司、国开金融、啟赋资本、渶策资本、广发信德等跟投</t>
  </si>
  <si>
    <t>国奥科技</t>
  </si>
  <si>
    <t>电机研发生产商</t>
  </si>
  <si>
    <t>基石资本</t>
  </si>
  <si>
    <t>同川精密</t>
  </si>
  <si>
    <t>机器人核心部件研发商</t>
  </si>
  <si>
    <t>法士特</t>
  </si>
  <si>
    <t>C2轮</t>
  </si>
  <si>
    <t>顺禧基金领投，启明创投、博原资本、春华资本、北京金控集团、TCL创投跟投</t>
  </si>
  <si>
    <t>iStar星空科技</t>
  </si>
  <si>
    <t>先进精密装备研发制造商</t>
  </si>
  <si>
    <t>兴橙资本</t>
  </si>
  <si>
    <t>金羽新能</t>
  </si>
  <si>
    <t>高能量密度锂电池生产商</t>
  </si>
  <si>
    <t>杭州城投</t>
  </si>
  <si>
    <t>国工科技</t>
  </si>
  <si>
    <t>自动化装备零部件智能智造商</t>
  </si>
  <si>
    <t>中保产业基金</t>
  </si>
  <si>
    <t>埃森特</t>
  </si>
  <si>
    <t>新能源热管理产品研发制造商</t>
  </si>
  <si>
    <t>美的资本</t>
  </si>
  <si>
    <t>千寻智能</t>
  </si>
  <si>
    <t>具身智能与通用人形机器人技术研发商</t>
  </si>
  <si>
    <t>20亿元</t>
  </si>
  <si>
    <t>云锋基金，混沌投资，红杉中国，Synstellation Capital，TCL创投，明荟致远投资，渝富控股，杭州金投，三六零，厚雪资本，顺为资本，Prosperity7 Ventures，达晨财智，柏睿资本，弘晖基金，华泰紫金投资，东方嘉富，千乘资本，广发信德等</t>
  </si>
  <si>
    <t>百度、中国中车、沄柏资本、国泰海通等</t>
  </si>
  <si>
    <t>阿米精控</t>
  </si>
  <si>
    <t>微纳测控及超精密自动化解决方案提供商</t>
  </si>
  <si>
    <t>深重投集团，经纬创投</t>
  </si>
  <si>
    <t>九识智能</t>
  </si>
  <si>
    <t>城配自动驾驶产品研发及应用服务商</t>
  </si>
  <si>
    <t>3亿美元</t>
  </si>
  <si>
    <t>思倍科智能</t>
  </si>
  <si>
    <t>全场景商用清洁机器人研发商</t>
  </si>
  <si>
    <t>汉朔科技，华业天成</t>
  </si>
  <si>
    <t>英汉思动力</t>
  </si>
  <si>
    <t>智能运动硬件品牌</t>
  </si>
  <si>
    <t>赛纳资本，兴富资本，襄禾资本，浩方创投</t>
  </si>
  <si>
    <t>金竟科技</t>
  </si>
  <si>
    <t>精密科学仪器研发制造商</t>
  </si>
  <si>
    <t>粤港澳大湾区协同创新研究院，中合盛资本</t>
  </si>
  <si>
    <t>御辰东智能</t>
  </si>
  <si>
    <t>新能源装备设计研发商</t>
  </si>
  <si>
    <t>南湖金服，鹏辉能源，高瓴创投</t>
  </si>
  <si>
    <t>神骐资本</t>
  </si>
  <si>
    <t>DreamTech</t>
  </si>
  <si>
    <t>原生3D生成AI解决方案提供商</t>
  </si>
  <si>
    <t>君联资本，南山战新投，力合科创，元禾原点</t>
  </si>
  <si>
    <t>金宇智能</t>
  </si>
  <si>
    <t>智能检验检测系统提供商</t>
  </si>
  <si>
    <t>复星创富</t>
  </si>
  <si>
    <t>复生医疗</t>
  </si>
  <si>
    <t>胶囊胃镜机器人研发生产商</t>
  </si>
  <si>
    <t>成都国生资本</t>
  </si>
  <si>
    <t>赛博格机器人</t>
  </si>
  <si>
    <t>具身智能与人形机器人研发商</t>
  </si>
  <si>
    <t>奋达科技，中芯聚源</t>
  </si>
  <si>
    <t>莫比乌斯投资，君联资本，蓝驰创投，华业天成，柏睿资本，光合创投</t>
  </si>
  <si>
    <t>西湖机器人</t>
  </si>
  <si>
    <t>赛富投资基金领投，龙芯中科、莫干山国控集团等跟投</t>
  </si>
  <si>
    <t>览锐光电</t>
  </si>
  <si>
    <t>有机柔性电致变色调光技术研发商</t>
  </si>
  <si>
    <t>越秀资本领投，浙江建投、宁波海曙产业投资、常州市政府投资基金、常高新集团跟投</t>
  </si>
  <si>
    <t>高谱成像</t>
  </si>
  <si>
    <t>光谱成像技术研发商</t>
  </si>
  <si>
    <t>安丰创投</t>
  </si>
  <si>
    <t>诺登创投</t>
  </si>
  <si>
    <t>星尘智能</t>
  </si>
  <si>
    <t>智能人形机器人研发商</t>
  </si>
  <si>
    <t>锐云威科技</t>
  </si>
  <si>
    <t>精密测控系统解决方案提供商</t>
  </si>
  <si>
    <t>金浦投资</t>
  </si>
  <si>
    <t>深浦SENPUM</t>
  </si>
  <si>
    <t>自动化传感器产品研发商</t>
  </si>
  <si>
    <t>长沙经开集团，钟鼎资本，深高新投</t>
  </si>
  <si>
    <t>大科激光</t>
  </si>
  <si>
    <t>光纤激光器及其核心器件研发生产商</t>
  </si>
  <si>
    <t>新区投资集团</t>
  </si>
  <si>
    <t>中山小神童</t>
  </si>
  <si>
    <t>具身移动机器人技术和应用综合提供商</t>
  </si>
  <si>
    <t>繸子财富，中芯聚源，温润投资，元禾厚望</t>
  </si>
  <si>
    <t>智鼎机器人</t>
  </si>
  <si>
    <t>商用清洁机器人研发商</t>
  </si>
  <si>
    <t>投控东海，莱克电气，晋拓股份，旭阳工业，本川智能等</t>
  </si>
  <si>
    <t>15亿元</t>
  </si>
  <si>
    <t>道得投资、盛世投资领投，盈渊资本、诺瓦星云、新鼎资本、中和资本、智路资本、诚筑投资、临云资本、嘉铭浩春投资、财鑫资本、Singapore Eastern Epic Capitals等跟投</t>
  </si>
  <si>
    <t>新川电子</t>
  </si>
  <si>
    <t>高端球形超细金属粉末供应商</t>
  </si>
  <si>
    <t>杭州城投，君联资本，浙资运营，浙江经投等</t>
  </si>
  <si>
    <t>禾芯动力</t>
  </si>
  <si>
    <t>农业具身智能技术研发商</t>
  </si>
  <si>
    <t>天空工场创投基金</t>
  </si>
  <si>
    <t>RoboScience</t>
  </si>
  <si>
    <t>普华资本领投，达晨财智、长石资本、香港慧科科创、天启资本、招商局创投、零一创投等跟投</t>
  </si>
  <si>
    <t>建元天华投资</t>
  </si>
  <si>
    <t>海芯微</t>
  </si>
  <si>
    <t>太赫兹射频芯片及雷达微系统研发商</t>
  </si>
  <si>
    <t>博源资本</t>
  </si>
  <si>
    <t>玄创机器人</t>
  </si>
  <si>
    <t>特种作业机器人研发商</t>
  </si>
  <si>
    <t>前海母基金，杭州科创集团，西湖科创投，深圳福田引导基金</t>
  </si>
  <si>
    <t>嘀拍科技</t>
  </si>
  <si>
    <t>AI边缘计算软硬件产品与解决方案商</t>
  </si>
  <si>
    <t>盈远投资领投，亚投资本跟投</t>
  </si>
  <si>
    <t>平湖图达通</t>
  </si>
  <si>
    <t>车规级激光雷达研发生产商</t>
  </si>
  <si>
    <t>泽奕资本，投控东海</t>
  </si>
  <si>
    <t>青鼎装备</t>
  </si>
  <si>
    <t>超声精密装备及工艺整体解决方案提供商</t>
  </si>
  <si>
    <t>中南创投</t>
  </si>
  <si>
    <t>智谷精工</t>
  </si>
  <si>
    <t>超精密加工技术及装备研发和制造商</t>
  </si>
  <si>
    <t>西湖科创投</t>
  </si>
  <si>
    <t>深迪半导体</t>
  </si>
  <si>
    <t>商用MEMS陀螺仪研发生产商</t>
  </si>
  <si>
    <t>郑中设计领投，信达资本、惠友资本、高新发展、建信信托、元禾璞华、倍盈基金、比亚迪等跟投</t>
  </si>
  <si>
    <t>大深传感器</t>
  </si>
  <si>
    <t>工业传感器研发制造商</t>
  </si>
  <si>
    <t>腾午基金</t>
  </si>
  <si>
    <t>创现科技</t>
  </si>
  <si>
    <t>软表面清洁机器人研发研发商</t>
  </si>
  <si>
    <t>光谷产业投资，丹麓资本，瑞江投资</t>
  </si>
  <si>
    <t>百度风投，云锋基金，Synstellation Capital，均胜电子，龙旗科技，上汽集团，C Capital，沃赋创投，慕华科创，蓝驰创投，高瓴资本，徐汇资本等</t>
  </si>
  <si>
    <t>爱鸥光学</t>
  </si>
  <si>
    <t>光学领域工业智能化解决方案提供商</t>
  </si>
  <si>
    <t>交研资本</t>
  </si>
  <si>
    <t>见真机械</t>
  </si>
  <si>
    <t>超精密结构件制造商</t>
  </si>
  <si>
    <t>长江资本，南通科创集团</t>
  </si>
  <si>
    <t>烁范智能</t>
  </si>
  <si>
    <t>经开瑞赢</t>
  </si>
  <si>
    <t>斯特智能</t>
  </si>
  <si>
    <t>伺服压力机控制系统及伺服压力机解决方案提供商</t>
  </si>
  <si>
    <t>领军创投，致道资本</t>
  </si>
  <si>
    <t>灵境具身</t>
  </si>
  <si>
    <t>具身智能机器人解决方案提供商</t>
  </si>
  <si>
    <t>线性资本</t>
  </si>
  <si>
    <t>复安绿能</t>
  </si>
  <si>
    <t>水系电池研发生产商</t>
  </si>
  <si>
    <t>邦明资本，复容资本，润森义信，中科创星，仁智资本</t>
  </si>
  <si>
    <t>具身超级大脑模组研发商</t>
  </si>
  <si>
    <t>蚂蚁集团领投，启明创投、金景资本、弘毅投资、联想创投、菡源资产、国香资本等跟投</t>
  </si>
  <si>
    <t>穹彻智能</t>
  </si>
  <si>
    <t>具身智能技术开发应用服务商</t>
  </si>
  <si>
    <t>C Capital领投，Sea Limited、普华资本、Prosperity7 Ventures等跟投</t>
  </si>
  <si>
    <t>纽立特</t>
  </si>
  <si>
    <t>高功率超快激光器研发商</t>
  </si>
  <si>
    <t>清创华悦基金</t>
  </si>
  <si>
    <t>华义创投</t>
  </si>
  <si>
    <t>智绘机器人</t>
  </si>
  <si>
    <t>智能喷涂机器人研发生产商</t>
  </si>
  <si>
    <t>华科冷芯</t>
  </si>
  <si>
    <t>高端微型泵及液冷系统解决方案提供商</t>
  </si>
  <si>
    <t>无界智慧</t>
  </si>
  <si>
    <t>陪护机器人研发商</t>
  </si>
  <si>
    <t>银杏谷资本</t>
  </si>
  <si>
    <t>电科蓝天</t>
  </si>
  <si>
    <t>电能源产品生产商</t>
  </si>
  <si>
    <t>中信建投投资，中核集团，中国船舶集团，上海中科辰新卫星技术有限公司，航天彩虹，航天产业基金，北京卫星制造厂有限公司</t>
  </si>
  <si>
    <t>途见科技</t>
  </si>
  <si>
    <t>创新触觉传感解决方案提供商</t>
  </si>
  <si>
    <t>联想之星</t>
  </si>
  <si>
    <t>为恒智能</t>
  </si>
  <si>
    <t>全场景储能系统解决方案提供商</t>
  </si>
  <si>
    <t>蘅晶瓷</t>
  </si>
  <si>
    <t>光电材料与器件研发商</t>
  </si>
  <si>
    <t>融通高科</t>
  </si>
  <si>
    <t>新能源电池正极材料研发生产商</t>
  </si>
  <si>
    <t>F轮</t>
  </si>
  <si>
    <t>2.5亿元</t>
  </si>
  <si>
    <t>浩蓝行远</t>
  </si>
  <si>
    <t>小苗朗程，中银国际投资</t>
  </si>
  <si>
    <t>易思维</t>
  </si>
  <si>
    <t>工业视觉检测产品研发商</t>
  </si>
  <si>
    <t>广汽资本，上汽集团，浙江耀宁科技集团有限公司，北汽产业投资，复星集团等</t>
  </si>
  <si>
    <t>云栖极耀</t>
  </si>
  <si>
    <t>紧凑型等离子体光源技术研发商</t>
  </si>
  <si>
    <t>南京君澜，普华资本，中芯聚源，崎瓴企管，海南允杰</t>
  </si>
  <si>
    <t>鲲鹏智能</t>
  </si>
  <si>
    <t>全栈自研能力机器人研发商</t>
  </si>
  <si>
    <t>温润投资</t>
  </si>
  <si>
    <t>泽声科技</t>
  </si>
  <si>
    <t>中高端传感器芯片研发</t>
  </si>
  <si>
    <t>聚华传新</t>
  </si>
  <si>
    <t>睿恩新能</t>
  </si>
  <si>
    <t>无极耳圆柱型电芯及解决方案提供商</t>
  </si>
  <si>
    <t>Musspark</t>
  </si>
  <si>
    <t>AI智能乐器研发商</t>
  </si>
  <si>
    <t>英诺基金，海润企管</t>
  </si>
  <si>
    <t>北京上河动量</t>
  </si>
  <si>
    <t>哈希温控</t>
  </si>
  <si>
    <t>液冷设备生产商</t>
  </si>
  <si>
    <t>德业股份</t>
  </si>
  <si>
    <t>谱星航天</t>
  </si>
  <si>
    <t>光学载荷与微纳卫星平台解决方案提供商</t>
  </si>
  <si>
    <t>3000万元</t>
  </si>
  <si>
    <t>启迪之星领投</t>
  </si>
  <si>
    <t>准懋科技</t>
  </si>
  <si>
    <t>自动驾驶MEMS惯性传感器芯片研发商</t>
  </si>
  <si>
    <t>华西金智</t>
  </si>
  <si>
    <t>西派格电液</t>
  </si>
  <si>
    <t>智能驱动与电液技术研发商</t>
  </si>
  <si>
    <t>灵尾纪元</t>
  </si>
  <si>
    <t>宠物AI智能硬件产品研发商</t>
  </si>
  <si>
    <t>天空工场创投基金等</t>
  </si>
  <si>
    <t>富唯智能</t>
  </si>
  <si>
    <t>具身智能工业机器人研发商</t>
  </si>
  <si>
    <t>华山汇，和而泰</t>
  </si>
  <si>
    <t>元朔智感</t>
  </si>
  <si>
    <t>电感式和应变式传感器研发商</t>
  </si>
  <si>
    <t>合肥创新投资，南通投管，匀升投资</t>
  </si>
  <si>
    <t>国巡机器人</t>
  </si>
  <si>
    <t>智慧安全巡检机器人研发商</t>
  </si>
  <si>
    <t>玖兆投资，粤科金融集团</t>
  </si>
  <si>
    <t>灵禾科技</t>
  </si>
  <si>
    <t>精密零部件生产商</t>
  </si>
  <si>
    <t>建信信托，粤科金融集团，永鑫方舟，君桐资本</t>
  </si>
  <si>
    <t>宏策精密</t>
  </si>
  <si>
    <t>短波光学薄膜研发商</t>
  </si>
  <si>
    <t>中网投，芯鑫租赁，深创投</t>
  </si>
  <si>
    <t>融海微机器人</t>
  </si>
  <si>
    <t>特种场景全流程作业具身智能机器人研发商</t>
  </si>
  <si>
    <t>东运创投</t>
  </si>
  <si>
    <t>夸特智能</t>
  </si>
  <si>
    <t>汽车零部件及配件制造商</t>
  </si>
  <si>
    <t>海川基金</t>
  </si>
  <si>
    <t>昇视唯盛</t>
  </si>
  <si>
    <t>焊接行业具身智能机器人研发商</t>
  </si>
  <si>
    <t>微光创投</t>
  </si>
  <si>
    <t>桥跃智能</t>
  </si>
  <si>
    <t>绿色能源解决方案提供商</t>
  </si>
  <si>
    <t>衢州工业控股集团，厚雪资本</t>
  </si>
  <si>
    <t>海柔创新</t>
  </si>
  <si>
    <t>箱式仓储机器人系统研发商</t>
  </si>
  <si>
    <t>五源资本</t>
  </si>
  <si>
    <t>智行智能</t>
  </si>
  <si>
    <t>淄博高新产业投资，兰璞创投</t>
  </si>
  <si>
    <t>舞肌科技</t>
  </si>
  <si>
    <t>机器人专用电机和灵巧手研发商</t>
  </si>
  <si>
    <t>华方资本，碧鸿投资，中移和创投资，Alphaist Partners</t>
  </si>
  <si>
    <t>崎恩智能</t>
  </si>
  <si>
    <t>高性能传感单元及其设备研发商</t>
  </si>
  <si>
    <t>北洋海棠基金</t>
  </si>
  <si>
    <t>槃实科技</t>
  </si>
  <si>
    <t>磁悬浮技术研发及应用服务商</t>
  </si>
  <si>
    <t>海通创新、深圳资本、招银国际、深担集团领投，宇杉资本、基石资本跟投</t>
  </si>
  <si>
    <t>瑞利光电</t>
  </si>
  <si>
    <t>高端FRET显微成像系统研发商</t>
  </si>
  <si>
    <t>清投基金</t>
  </si>
  <si>
    <t>卓益得机器人</t>
  </si>
  <si>
    <t>具身智能机器人研发生产商</t>
  </si>
  <si>
    <t>浦东创投集团、张江科投领投，河南投资集团、征和工业、松霖科技等跟投</t>
  </si>
  <si>
    <t>量引科技</t>
  </si>
  <si>
    <t>新一代高速光传输芯片研发商</t>
  </si>
  <si>
    <t>珠海科技产业集团领投，正方投资跟投</t>
  </si>
  <si>
    <t>知有无界</t>
  </si>
  <si>
    <t>船舶具身通用大模型技术及产品研发商</t>
  </si>
  <si>
    <t>云铸三维</t>
  </si>
  <si>
    <t>3D打印应用服务提供商</t>
  </si>
  <si>
    <t>普罗宇宙</t>
  </si>
  <si>
    <t>工业级通用具身智能机器人研发商</t>
  </si>
  <si>
    <t>厦门宇电自动化科技</t>
  </si>
  <si>
    <t>高端智能测控仪表专业供应商</t>
  </si>
  <si>
    <t>诺华资本</t>
  </si>
  <si>
    <t>天交新能</t>
  </si>
  <si>
    <t>金控知守，供销知守</t>
  </si>
  <si>
    <t>钛方科技</t>
  </si>
  <si>
    <t>智能触觉解决方案提供商</t>
  </si>
  <si>
    <t>国泰君安创新投资，金浦投资，川创投，西证股权投资，渝富控股</t>
  </si>
  <si>
    <t>新石器无人车</t>
  </si>
  <si>
    <t>L4级无人驾驶商用车厂商</t>
  </si>
  <si>
    <t>腾讯投资</t>
  </si>
  <si>
    <t>海砥装备</t>
  </si>
  <si>
    <t>智能涉水装备研发商</t>
  </si>
  <si>
    <t>名城发展集团</t>
  </si>
  <si>
    <t>超能机器人</t>
  </si>
  <si>
    <t>军民两用机器人整机解决方案提供商</t>
  </si>
  <si>
    <t>财信产业基金</t>
  </si>
  <si>
    <t>迈摩丝探卡</t>
  </si>
  <si>
    <t>MEMS探针卡及电子专用材料研发商</t>
  </si>
  <si>
    <t>矩阵股份</t>
  </si>
  <si>
    <t>欧瑞京机电</t>
  </si>
  <si>
    <t>特种电机及传动系统解决方案提供商</t>
  </si>
  <si>
    <t>毅达资本，厦门钨业，国投创合</t>
  </si>
  <si>
    <t>先导智能</t>
  </si>
  <si>
    <t>新能源智能制造解决方案服务商</t>
  </si>
  <si>
    <t>2.75亿美元</t>
  </si>
  <si>
    <t>Oaktree Capital橡树资本，Pinpoint，AMF，MY Asian，Morgan Stanley摩根士丹利，欧万达基金，QRT，Millennium，Rome Garden，国泰海通</t>
  </si>
  <si>
    <t>锐盟半导体</t>
  </si>
  <si>
    <t>全栈式传感与执行微系统解决方案提供商</t>
  </si>
  <si>
    <t>松禾资本领投，飞荣达、华融盛资本、深圳天使母基金等跟投</t>
  </si>
  <si>
    <t>辛米尔</t>
  </si>
  <si>
    <t>边缘智能一体化解决方案服务商</t>
  </si>
  <si>
    <t>国泰君安创新投资，国经资本，同鑫资本</t>
  </si>
  <si>
    <t>灵猴机器人</t>
  </si>
  <si>
    <t>工业自动化核心部件供应商</t>
  </si>
  <si>
    <t>Pre-B轮</t>
  </si>
  <si>
    <t>蔚来资本领投，中国中车、前沿投资、洽道投资、博原资本、金鼎资本等跟投</t>
  </si>
  <si>
    <t>麦迦塔</t>
  </si>
  <si>
    <t>工业智能装备研发商</t>
  </si>
  <si>
    <t>东方富海，德虎资本</t>
  </si>
  <si>
    <t>见行智控</t>
  </si>
  <si>
    <t>传感器及工业自动化控制技术研发商</t>
  </si>
  <si>
    <t>简智机器人</t>
  </si>
  <si>
    <t>具身智能数据采集解决方案提供商</t>
  </si>
  <si>
    <t>德联资本</t>
  </si>
  <si>
    <t>航宇智造</t>
  </si>
  <si>
    <t>液压成形技术零部件生产解决方案提供商</t>
  </si>
  <si>
    <t>亦庄国投，京国瑞管理公司</t>
  </si>
  <si>
    <t>师元光电</t>
  </si>
  <si>
    <t>集成电路芯片研发商</t>
  </si>
  <si>
    <t>益阳投控</t>
  </si>
  <si>
    <t>柒星丰泰</t>
  </si>
  <si>
    <t>电池零配件销售商</t>
  </si>
  <si>
    <t>新途新能源</t>
  </si>
  <si>
    <t>新能源汽车电池组件及相关产品研产商</t>
  </si>
  <si>
    <t>海能控股集团</t>
  </si>
  <si>
    <t>屹普动力</t>
  </si>
  <si>
    <t>动力系统与分布式能源设备制造商</t>
  </si>
  <si>
    <t>元璟资本，襄禾资本，中鑫资本等</t>
  </si>
  <si>
    <t>红杉中国领投，东方富海跟投</t>
  </si>
  <si>
    <t>中科清能</t>
  </si>
  <si>
    <t>氢液化装备研发制造商</t>
  </si>
  <si>
    <t>PreA++轮</t>
  </si>
  <si>
    <t>鼎晖投资、蔚来资本、中国国新、鲲鹏资本领投，荷塘创投、小雨资本、河南资产、飞图创投、西湖科创投、熔拓资本、中广核资本跟投</t>
  </si>
  <si>
    <t>明豪精密</t>
  </si>
  <si>
    <t>精密工业零部件制造商</t>
  </si>
  <si>
    <t>玖兆投资</t>
  </si>
  <si>
    <t>仁新机器人</t>
  </si>
  <si>
    <t>工业具身智能焊接机器人研发商</t>
  </si>
  <si>
    <t>鲁花投资领投，国金创新投资跟投</t>
  </si>
  <si>
    <t>晨好智能</t>
  </si>
  <si>
    <t>五轴联动双摆头技术研发制造商</t>
  </si>
  <si>
    <t>智创芯联</t>
  </si>
  <si>
    <t>集成电路设计及相关产品研发商</t>
  </si>
  <si>
    <t>光稳世纪</t>
  </si>
  <si>
    <t>激光照明光学系统研发商</t>
  </si>
  <si>
    <t>晶溪牧科技</t>
  </si>
  <si>
    <t>仪器仪表制造商</t>
  </si>
  <si>
    <t>金雨茂物</t>
  </si>
  <si>
    <t>威孚材料</t>
  </si>
  <si>
    <t>半导体设备与核心部件制造商</t>
  </si>
  <si>
    <t>隐冠半导体</t>
  </si>
  <si>
    <t>史河机器人</t>
  </si>
  <si>
    <t>高空机器人研发商</t>
  </si>
  <si>
    <t>浙江海港集团领投，复兴资本跟投</t>
  </si>
  <si>
    <t>赣锋储能</t>
  </si>
  <si>
    <t>储能技术提供商</t>
  </si>
  <si>
    <t>赣锋锂电，河南上元资产管理</t>
  </si>
  <si>
    <t>华控基金</t>
  </si>
  <si>
    <t>中嘉微视</t>
  </si>
  <si>
    <t>半导体显示AOI检测设备供应商</t>
  </si>
  <si>
    <t>深高新投，小禾创业，湾区投资，成都科创投集团</t>
  </si>
  <si>
    <t>飞秒创芯</t>
  </si>
  <si>
    <t>智能制造装备及其关键器件研发商</t>
  </si>
  <si>
    <t>创星领航，菁蓉创星</t>
  </si>
  <si>
    <t>博银合创</t>
  </si>
  <si>
    <t>具身人工智能科技研发商</t>
  </si>
  <si>
    <t>博世</t>
  </si>
  <si>
    <t>节卡机器人</t>
  </si>
  <si>
    <t>通用智能协作机器人研发商</t>
  </si>
  <si>
    <t>临港数科基金领投，广宇科技、星宇股份(601799) 跟投</t>
  </si>
  <si>
    <t>钛虎机器人</t>
  </si>
  <si>
    <t>机器人高端硬件与整体解决方案提供商</t>
  </si>
  <si>
    <t>国香资本，安元天云，国泰君安创新投资，东土科技(300353)</t>
  </si>
  <si>
    <t>破壳智能</t>
  </si>
  <si>
    <t>家庭场景机器人研发商</t>
  </si>
  <si>
    <t>数千万美元</t>
  </si>
  <si>
    <t>星海图</t>
  </si>
  <si>
    <t>茂威精控</t>
  </si>
  <si>
    <t>精密运动控制系统研发商</t>
  </si>
  <si>
    <t>诺派激光</t>
  </si>
  <si>
    <t>高端脉冲光纤激光器研发商</t>
  </si>
  <si>
    <t>投控东海</t>
  </si>
  <si>
    <t>智能制造领域核心零部件供应商</t>
  </si>
  <si>
    <t>中芯聚源，厚为资本，红杉中国，国泰君安创新投资，智元机器人，博原资本，金鼎资本等</t>
  </si>
  <si>
    <t>清智嘉创</t>
  </si>
  <si>
    <t>北京精雕</t>
  </si>
  <si>
    <t>精密数控机床研发生产商</t>
  </si>
  <si>
    <t>贝斯特(300580) ，京国瑞管理公司</t>
  </si>
  <si>
    <t>华金资本(000532)</t>
  </si>
  <si>
    <t>联视智能</t>
  </si>
  <si>
    <t>精密测试技术与光学制造优化解决方案供应商</t>
  </si>
  <si>
    <t>希扬资本</t>
  </si>
  <si>
    <t>日冕机器人</t>
  </si>
  <si>
    <t>武岳峰科创，百度风投</t>
  </si>
  <si>
    <t>博智仿生</t>
  </si>
  <si>
    <t>曦晨资本</t>
  </si>
  <si>
    <t>煜森能源</t>
  </si>
  <si>
    <t>能源装备制造服务商</t>
  </si>
  <si>
    <t>广安金财集团</t>
  </si>
  <si>
    <t>珈钠能源</t>
  </si>
  <si>
    <t>钠离子电池综合解决方案提供商</t>
  </si>
  <si>
    <t>亿纬锂能(300014) ，深圳资本</t>
  </si>
  <si>
    <t>灵动佳芯</t>
  </si>
  <si>
    <t>智能触觉传感器解决方案提供商</t>
  </si>
  <si>
    <t>奇瑞控股(09973)</t>
  </si>
  <si>
    <t>跃瓦创新</t>
  </si>
  <si>
    <t>XVC</t>
  </si>
  <si>
    <t>武创投，首义科创投集团</t>
  </si>
  <si>
    <t>吉熙半导体</t>
  </si>
  <si>
    <t>新型光子晶体激光光源研发商</t>
  </si>
  <si>
    <t>中赢创投</t>
  </si>
  <si>
    <t>苇熠科技</t>
  </si>
  <si>
    <t>具身智能核心运动部件供应商</t>
  </si>
  <si>
    <t>小苗朗程领投，大零号湾投资跟投</t>
  </si>
  <si>
    <t>清卓动力</t>
  </si>
  <si>
    <t>机器人研发商</t>
  </si>
  <si>
    <t>德康威尔</t>
  </si>
  <si>
    <t>直驱电机及运动模组制造商</t>
  </si>
  <si>
    <t>东方富海，中皋基金</t>
  </si>
  <si>
    <t>创造力机器人</t>
  </si>
  <si>
    <t>工业机器人及智能系统服务商</t>
  </si>
  <si>
    <t>武南汇智创投，智元机器人</t>
  </si>
  <si>
    <t>越千创新</t>
  </si>
  <si>
    <t>电影级摄影运镜机器人研发商</t>
  </si>
  <si>
    <t>南山战新投，明势创投</t>
  </si>
  <si>
    <t>亦庄国投，华控基金，鹏瑞集团，浦科投资，南山战新投，京东(JD)</t>
  </si>
  <si>
    <t>新奇机器人</t>
  </si>
  <si>
    <t>机器人零部件制造商</t>
  </si>
  <si>
    <t>经纬创投，沃赋创投</t>
  </si>
  <si>
    <t>神通半导体</t>
  </si>
  <si>
    <t>半导体设备专用阀门研发生产商</t>
  </si>
  <si>
    <t>至纯科技(603690) ，瑞稻新兴产投</t>
  </si>
  <si>
    <t>华民投，九合创投，亚商资本</t>
  </si>
  <si>
    <t>费曼动力</t>
  </si>
  <si>
    <t>电池催化剂研发商</t>
  </si>
  <si>
    <t>中美绿色基金，IFOF智汇基金</t>
  </si>
  <si>
    <t>上海万泽</t>
  </si>
  <si>
    <t>金属零部件生产商</t>
  </si>
  <si>
    <t>3.08亿元</t>
  </si>
  <si>
    <t>临港数科基金，招商致远资本，国泰君安创新投资，奉创投，申银万国投资，上海国盛集团，安徽交控资本</t>
  </si>
  <si>
    <t>驿天诺</t>
  </si>
  <si>
    <t>光电子集成测试解决方案提供商</t>
  </si>
  <si>
    <t>张江高科(600895) 领投，雍邑光电跟投</t>
  </si>
  <si>
    <t>海万欣</t>
  </si>
  <si>
    <t>新能源原动设备研发商</t>
  </si>
  <si>
    <t>晶通科技，两山国控集团</t>
  </si>
  <si>
    <t>迈科全机电</t>
  </si>
  <si>
    <t>自动化机电设备及系统研发商</t>
  </si>
  <si>
    <t>领军创投</t>
  </si>
  <si>
    <t>盛景传感</t>
  </si>
  <si>
    <t>传感器研发商</t>
  </si>
  <si>
    <t>创生纪</t>
  </si>
  <si>
    <t>浦东创投集团</t>
  </si>
  <si>
    <t>科讯工业</t>
  </si>
  <si>
    <t>流体控制产品研产商</t>
  </si>
  <si>
    <t>倍丰智能</t>
  </si>
  <si>
    <t>金属3D打印全产业链解决方案提供商</t>
  </si>
  <si>
    <t>立翎资本领投</t>
  </si>
  <si>
    <t>哲弗智能</t>
  </si>
  <si>
    <t>新能源汽车锂电池安全系统研发商</t>
  </si>
  <si>
    <t>凯博资本，成都经开产投基金</t>
  </si>
  <si>
    <t>曦合智控</t>
  </si>
  <si>
    <t>智能仪器仪表制造商</t>
  </si>
  <si>
    <t>东昇聚变，中科创星，复旦科创，高瓴创投，龙芯中科(688047)</t>
  </si>
  <si>
    <t>极派乐</t>
  </si>
  <si>
    <t>人工智能硬件产品研发商</t>
  </si>
  <si>
    <t>FutureX天际资本</t>
  </si>
  <si>
    <t>拜安科技</t>
  </si>
  <si>
    <t>光纤传感产品及核心部件研发商</t>
  </si>
  <si>
    <t>中山金控，中银资本，中科创星</t>
  </si>
  <si>
    <t>华昇时代</t>
  </si>
  <si>
    <t>气动元件和电驱动产品研发商</t>
  </si>
  <si>
    <t>领军创投，苏创投，钧石创投，得彼投资</t>
  </si>
  <si>
    <t>橡木果机器人</t>
  </si>
  <si>
    <t>机器人触觉交互感知技术研发商</t>
  </si>
  <si>
    <t>广东季华，国融工发</t>
  </si>
  <si>
    <t>公大激光</t>
  </si>
  <si>
    <t>高端智能激光器研发制造商</t>
  </si>
  <si>
    <t>力合资本，北航投资，国晨创投</t>
  </si>
  <si>
    <t>青心意创</t>
  </si>
  <si>
    <t>具身智能机器人的设计与研发商</t>
  </si>
  <si>
    <t>厚雪资本、FutureX天际资本领投，珠海乐朴投资跟投</t>
  </si>
  <si>
    <t>航星传动</t>
  </si>
  <si>
    <t>高端控制系统装备提供商</t>
  </si>
  <si>
    <t>中国中车(601766) ，国新国证，安徽省投资集团</t>
  </si>
  <si>
    <t>法奥机器人</t>
  </si>
  <si>
    <t>协作机器人研发生产商</t>
  </si>
  <si>
    <t>国寿投资领投，博原资本、顺为资本、源码资本等跟投</t>
  </si>
  <si>
    <t>星灿智能</t>
  </si>
  <si>
    <t>家庭智能机器人研发销售商</t>
  </si>
  <si>
    <t>亚华电子(301337) ，亚特电器等</t>
  </si>
  <si>
    <t>德邻私募基金，熙诚金睿</t>
  </si>
  <si>
    <t>朗赫科技</t>
  </si>
  <si>
    <t>家庭智能硬件研发商</t>
  </si>
  <si>
    <t>国科京东方领投，湘江集团跟投</t>
  </si>
  <si>
    <t>上海国和投资，见识投资</t>
  </si>
  <si>
    <t>中科瑞龙</t>
  </si>
  <si>
    <t>高端精密金属产品研发供应商</t>
  </si>
  <si>
    <t>科顺股份(300737) ，昆高新产业投资，昆高新集团，毅达资本，银星集团，贵阳创投</t>
  </si>
  <si>
    <t>星识科技</t>
  </si>
  <si>
    <t>智能影像解决方案提供商</t>
  </si>
  <si>
    <t>松禾资本，蓝驰创投</t>
  </si>
  <si>
    <t>五迪增材</t>
  </si>
  <si>
    <t>金属3D打印技术与设备研发商</t>
  </si>
  <si>
    <t>武创院，武创投</t>
  </si>
  <si>
    <t>纯锂新能源</t>
  </si>
  <si>
    <t>固态电池研发供应商</t>
  </si>
  <si>
    <t>亦庄国投</t>
  </si>
  <si>
    <t>慧闻科技</t>
  </si>
  <si>
    <t>场景化智能机器人解决方案服务商</t>
  </si>
  <si>
    <t>聚卓资本，睿石成长</t>
  </si>
  <si>
    <t>瑞动创科</t>
  </si>
  <si>
    <t>梅花创投，赛极投资，福建泉州先进制造技术研究院</t>
  </si>
  <si>
    <t>诺视科技</t>
  </si>
  <si>
    <t>Micro-LED微显示芯片研发商</t>
  </si>
  <si>
    <t>锦秋基金</t>
  </si>
  <si>
    <t>电氢智运</t>
  </si>
  <si>
    <t>工业物流无人运载机器人研发商</t>
  </si>
  <si>
    <t>四川投资集团</t>
  </si>
  <si>
    <t>经略科技</t>
  </si>
  <si>
    <t>分布式光伏电站建设运营服务商</t>
  </si>
  <si>
    <t>980万元</t>
  </si>
  <si>
    <t>世纪银龙</t>
  </si>
  <si>
    <t>冯源资本，永鑫方舟</t>
  </si>
  <si>
    <t>雅可比机器人</t>
  </si>
  <si>
    <t>智能机器人设计生产商</t>
  </si>
  <si>
    <t>白云金控</t>
  </si>
  <si>
    <t>华沿机器人</t>
  </si>
  <si>
    <t>9840万美元</t>
  </si>
  <si>
    <t>高瓴资本，广发基金，摩根士丹利，晟信集團，祥峰投资等</t>
  </si>
  <si>
    <t>ACCF Capital领投，海南至华、零以创投、元禾原点跟投</t>
  </si>
  <si>
    <t>曦诺未来</t>
  </si>
  <si>
    <t>人形机器人领域核心零部件供应商</t>
  </si>
  <si>
    <t>财通资本，毅达资本，浙大友创，三七互娱(002555) ，杭州金投，上海电科，东方嘉富，小米科技(01810) 等</t>
  </si>
  <si>
    <t>晶晖未来</t>
  </si>
  <si>
    <t>AI钙钛矿电池研发商</t>
  </si>
  <si>
    <t>晶泰科技(02228)</t>
  </si>
  <si>
    <t>Rokid</t>
  </si>
  <si>
    <t>AR/MR眼镜研发商</t>
  </si>
  <si>
    <t>康耐特光学</t>
  </si>
  <si>
    <t>正时精控</t>
  </si>
  <si>
    <t>激光扫描控制核心零部件研发商</t>
  </si>
  <si>
    <t>帝尔激光(300776)</t>
  </si>
  <si>
    <t>广日数智</t>
  </si>
  <si>
    <t>智能检测装备与数智化解决方案提供商</t>
  </si>
  <si>
    <t>工控资本</t>
  </si>
  <si>
    <t>桂北机器</t>
  </si>
  <si>
    <t>磨床研发生产商</t>
  </si>
  <si>
    <t>国富创新</t>
  </si>
  <si>
    <t>湾测</t>
  </si>
  <si>
    <t>工业安全传感器研发生产商</t>
  </si>
  <si>
    <t>同创伟业，建智基金，万联天泽，东证资本，冯源资本</t>
  </si>
  <si>
    <t>享刻智能</t>
  </si>
  <si>
    <t>餐饮领域具身智能机器人研发商</t>
  </si>
  <si>
    <t>九号公司</t>
  </si>
  <si>
    <t>华景传感科技</t>
  </si>
  <si>
    <t>MEMS传感器研发供应商</t>
  </si>
  <si>
    <t>无锡产业聚丰</t>
  </si>
  <si>
    <t>昆元量子</t>
  </si>
  <si>
    <t>半导体激光芯片与系统服务商</t>
  </si>
  <si>
    <t>余杭国投集团，科发资本，杭州资本，杭州科创集团</t>
  </si>
  <si>
    <t>广东协同创新，科发基金，庐阳产发</t>
  </si>
  <si>
    <t>擎羽科技</t>
  </si>
  <si>
    <t>仿生柔性操作重构机器人研发商</t>
  </si>
  <si>
    <t>东方富海领投</t>
  </si>
  <si>
    <t>凭空捏造</t>
  </si>
  <si>
    <t>创锐光谱</t>
  </si>
  <si>
    <t>精密光谱仪器和半导体量测设备研发商</t>
  </si>
  <si>
    <t>杭实集团，海通创新，高新金投集团，君联资本，光合创投</t>
  </si>
  <si>
    <t>信诺先端</t>
  </si>
  <si>
    <t>锂电池正极材料高温煅烧设备及技术开发商</t>
  </si>
  <si>
    <t>零以创投</t>
  </si>
  <si>
    <t>通友智能</t>
  </si>
  <si>
    <t>PIM一体成型电感元件制造商</t>
  </si>
  <si>
    <t>国晟资本，东证资本，金财朴棫，动潮投资，金海创投</t>
  </si>
  <si>
    <t>国顺激光</t>
  </si>
  <si>
    <t>高功率超快微纳结构光纤激光器研发商</t>
  </si>
  <si>
    <t>汇川技术、安芯基金领投，上海电科、乾融创禾资本、元禾控股、金沙江联合资本等跟投</t>
  </si>
  <si>
    <t>宝链智能</t>
  </si>
  <si>
    <t>纳米级超高精度激光测量系统研发商</t>
  </si>
  <si>
    <t>松禾资本，国联投资</t>
  </si>
  <si>
    <t>明创锂电</t>
  </si>
  <si>
    <t>锂电材料研发商</t>
  </si>
  <si>
    <t>国富股权，燕赵资产</t>
  </si>
  <si>
    <t>中科创星，天津纽纬</t>
  </si>
  <si>
    <t>华特邦芯</t>
  </si>
  <si>
    <t>高精端真空设备研发制造商</t>
  </si>
  <si>
    <t>清逸智达</t>
  </si>
  <si>
    <t>工业数字化和智能化服务提供商</t>
  </si>
  <si>
    <t>麓山投资</t>
  </si>
  <si>
    <t>简单有为</t>
  </si>
  <si>
    <t>家庭智能清洁产品研发商</t>
  </si>
  <si>
    <t>XVC，Times Taurus，启承资本</t>
  </si>
  <si>
    <t>1.2亿美元</t>
  </si>
  <si>
    <t>滴滴出行，美团龙珠，锦秋基金，高瓴创投，V线性资本，和暄资本，黄浦江资本，五源资本，梅花创投等</t>
  </si>
  <si>
    <t>优时小车</t>
  </si>
  <si>
    <t>小型无人车自动驾驶技术研发商</t>
  </si>
  <si>
    <t>前海母基金，厚天资本，鲲翎资本</t>
  </si>
  <si>
    <t>中科焓能</t>
  </si>
  <si>
    <t>新能源产品与解决方案提供商</t>
  </si>
  <si>
    <t>健安润华</t>
  </si>
  <si>
    <t>鸿威技术</t>
  </si>
  <si>
    <t>智能型电机及其控制一体化产品解决方案提供商</t>
  </si>
  <si>
    <t>顺德科创集团</t>
  </si>
  <si>
    <t>丰蕾科技</t>
  </si>
  <si>
    <t>高安全工业控制系统软件研发商</t>
  </si>
  <si>
    <t>鼎晖投资，国开科创，深创投，讯天时代集团，中信聚信，高瓴创投</t>
  </si>
  <si>
    <t>盘通动力</t>
  </si>
  <si>
    <t>高效轴向磁通电机研发商</t>
  </si>
  <si>
    <t>沈阳产研院</t>
  </si>
  <si>
    <t>Alphaist Partners，华方资本</t>
  </si>
  <si>
    <t>华首传动</t>
  </si>
  <si>
    <t>传动部件制造与销售商</t>
  </si>
  <si>
    <t>惠达投资，山东财金集团</t>
  </si>
  <si>
    <t>歌德新创</t>
  </si>
  <si>
    <t>显示器件研发生产商</t>
  </si>
  <si>
    <t>南山战新投</t>
  </si>
  <si>
    <t>兰璞创投</t>
  </si>
  <si>
    <t>天目先导</t>
  </si>
  <si>
    <t>锂离子电池新型硅负极材料研发商</t>
  </si>
  <si>
    <t>峻朗创投，德石投资，经韬创投</t>
  </si>
  <si>
    <t>镓耀半导体</t>
  </si>
  <si>
    <t>半导体真空薄膜沉积装备研发商</t>
  </si>
  <si>
    <t>卓璞资本，苏州资管等</t>
  </si>
  <si>
    <t>友上智能</t>
  </si>
  <si>
    <t>工业智能设备研发制造商</t>
  </si>
  <si>
    <t>里程碑创投，轻舟资本，深城交(301091)</t>
  </si>
  <si>
    <t>精创光学</t>
  </si>
  <si>
    <t>高端智能制造解决方案服务商</t>
  </si>
  <si>
    <t>中信建投资本</t>
  </si>
  <si>
    <t>灵御智能</t>
  </si>
  <si>
    <t>遥操作具身智能系统研发商</t>
  </si>
  <si>
    <t>银河创新资本领投，国海创新资本、天鹰资本、厦金创新投资、英诺基金、华映资本、远镜创投跟投</t>
  </si>
  <si>
    <t>森泰英格</t>
  </si>
  <si>
    <t>数控刀具及精密夹具研发商</t>
  </si>
  <si>
    <t>财通资本</t>
  </si>
  <si>
    <t>奕隆机电</t>
  </si>
  <si>
    <t>汽车制动电磁阀生产商</t>
  </si>
  <si>
    <t>万安科技(002590) ，凯晟动力，华纬科技(001380) ，奎森钬科技，华义创投</t>
  </si>
  <si>
    <t>查克科技</t>
  </si>
  <si>
    <t>3D打印与增材制造解决方案提供商</t>
  </si>
  <si>
    <t>长飞基金，源霖创投，华工创投</t>
  </si>
  <si>
    <t>国香资本、经纬创投领投，赛纳资本、浦东创投集团、上海国投、中晟汇霖、安创空间、百川资本等跟投</t>
  </si>
  <si>
    <t>消费级具身机器人研发商</t>
  </si>
  <si>
    <t>深创投，祥峰投资，前海母基金，元禾原点，微光创投，昆仑资本，容亿投资等</t>
  </si>
  <si>
    <t>潜行创新</t>
  </si>
  <si>
    <t>水域智能无人装备研发生产商</t>
  </si>
  <si>
    <t>立湾创业领投</t>
  </si>
  <si>
    <t>魔芯科技</t>
  </si>
  <si>
    <t>消费级3D打印机研发商</t>
  </si>
  <si>
    <t>哈勃投资领投，富瀚微(300613) 、联想控股(03396) 、峻朗创投等跟投</t>
  </si>
  <si>
    <t>阿帕奇机器人</t>
  </si>
  <si>
    <t>具身智能机器人核心大小脑方案研发商</t>
  </si>
  <si>
    <t>拓邦股份(002139) ，嘉祐基金</t>
  </si>
  <si>
    <t>燎疆科技</t>
  </si>
  <si>
    <t>无磁直驱电机研发商</t>
  </si>
  <si>
    <t>上翼</t>
  </si>
  <si>
    <t>太阳能电池研发生产商</t>
  </si>
  <si>
    <t>中科神光</t>
  </si>
  <si>
    <t>通用智能多模态触视感知灵巧操作系统研发生产商</t>
  </si>
  <si>
    <t>思脉产融，安恒信息(688023) ，蕴盛创投，宁波美弗林，捷昌驱动(603583)</t>
  </si>
  <si>
    <t>智龙未来</t>
  </si>
  <si>
    <t>卧龙电驱(600580) ，上虞曹娥江经济开发区建设公司</t>
  </si>
  <si>
    <t>微触纪元</t>
  </si>
  <si>
    <t>压阻式触觉传感器研发制造商</t>
  </si>
  <si>
    <t>慧目圆轮</t>
  </si>
  <si>
    <t>常兴新能源</t>
  </si>
  <si>
    <t>钠离子储能电池研发商</t>
  </si>
  <si>
    <t>智芯达</t>
  </si>
  <si>
    <t>半导体及新型显示领域核心设备研发商</t>
  </si>
  <si>
    <t>博远资本</t>
  </si>
  <si>
    <t>中科云控</t>
  </si>
  <si>
    <t>智能工业装备研发生产商</t>
  </si>
  <si>
    <t>赛泽资本，力鼎资本</t>
  </si>
  <si>
    <t>具身智能灵巧操作技术研发商</t>
  </si>
  <si>
    <t>徐汇资本等领投，博华资本、锡创投、普丰资本、钛铭资本、国中资本等跟投</t>
  </si>
  <si>
    <t>既未科技</t>
  </si>
  <si>
    <t>智慧物流机器人研发商</t>
  </si>
  <si>
    <t>信芳基金</t>
  </si>
  <si>
    <t>昊辰智能</t>
  </si>
  <si>
    <t>瑞智新沿</t>
  </si>
  <si>
    <t>惠山国控，惠山科创</t>
  </si>
  <si>
    <t>光宇元芯</t>
  </si>
  <si>
    <t>MicroLED微显示芯片研发商</t>
  </si>
  <si>
    <t>襄禾资本，中科创星，方广资本</t>
  </si>
  <si>
    <t>瑞珀精工</t>
  </si>
  <si>
    <t>激光工业母机制造商</t>
  </si>
  <si>
    <t>乾瞻投资</t>
  </si>
  <si>
    <t>电踏车专用中置电机系统研发商</t>
  </si>
  <si>
    <t>慕华科创，联创永宣，国联投资</t>
  </si>
  <si>
    <t>通用机器人和具身智能技术研发商</t>
  </si>
  <si>
    <t>天空工场创投基金，拓普集团(601689) ，金雨茂物(834960) ，苏大天宫，杰创智能(301248) ，ASD爱仕达(002403) ，梁创投，宜宾宜发展，武汉临空港等</t>
  </si>
  <si>
    <t>珩创纳米</t>
  </si>
  <si>
    <t>新能源电池核心材料研发商</t>
  </si>
  <si>
    <t>银川育成凤凰</t>
  </si>
  <si>
    <t>蓝启智能</t>
  </si>
  <si>
    <t>智能机器人与水下系统技术研发商</t>
  </si>
  <si>
    <t>方广资本，菡源资产</t>
  </si>
  <si>
    <t>通用智能机器人研发制造商</t>
  </si>
  <si>
    <t>Invus领投，Atma Capital、奥飞娱乐(002292) 等跟投</t>
  </si>
  <si>
    <t>中科创星，高榕创投，红杉中国，蓝驰创投，君联资本等</t>
  </si>
  <si>
    <t>诺仕机器人</t>
  </si>
  <si>
    <t>行星滚柱丝杠及微型线性执行器研发生产商</t>
  </si>
  <si>
    <t>浦科投资领投，联想创投、琥珀资本、克来机电 、鹏翎股份、尚颀资本跟投</t>
  </si>
  <si>
    <t>盈创极光</t>
  </si>
  <si>
    <t>金属3D打印产品及打印设备服务商</t>
  </si>
  <si>
    <t>宝鸡财投</t>
  </si>
  <si>
    <t>吉徽创智</t>
  </si>
  <si>
    <t>固态电解质材料方案提供商</t>
  </si>
  <si>
    <t>合肥创新投资领投，合肥高投跟投</t>
  </si>
  <si>
    <t>锂禾科技</t>
  </si>
  <si>
    <t>固态电池关键材料研发商</t>
  </si>
  <si>
    <t>创世威纳</t>
  </si>
  <si>
    <t>真空等离子体设备研发商</t>
  </si>
  <si>
    <t>金浦投资，中银国际投资，济南产发集团</t>
  </si>
  <si>
    <t>汇耀品尚</t>
  </si>
  <si>
    <t>光伏电站智慧运维及索结构柔性光伏支架系统研发商</t>
  </si>
  <si>
    <t>和达投资，兴湘资本，美能能源(001299) ，明冠新材(688560)</t>
  </si>
  <si>
    <t>芯厨纪元</t>
  </si>
  <si>
    <t>厨房机器人研发商</t>
  </si>
  <si>
    <t>英伟芯科技</t>
  </si>
  <si>
    <t>光电集成和硅光解决方案提供商</t>
  </si>
  <si>
    <t>张江高科(600895) ，向芯而行，希荻微(688173) ，森燚兴</t>
  </si>
  <si>
    <t>拓炽科技</t>
  </si>
  <si>
    <t>闭环式内墙涂装机器人研发商</t>
  </si>
  <si>
    <t>XBOTPARK基金</t>
  </si>
  <si>
    <t>开物匠心</t>
  </si>
  <si>
    <t>桌面CNC研发商</t>
  </si>
  <si>
    <t>顺为资本，高瓴创投</t>
  </si>
  <si>
    <t>金钢科技</t>
  </si>
  <si>
    <t>高性能磁编码器产品研发商</t>
  </si>
  <si>
    <t>远翼投资领投，海欣私募、中科光荣、彼岸时代科技控股、远东宏信(03360) 跟投</t>
  </si>
  <si>
    <t>飒智智能</t>
  </si>
  <si>
    <t>智能移动作业复合机器人研发商</t>
  </si>
  <si>
    <t>小橡创投</t>
  </si>
  <si>
    <t>睿恩新能源</t>
  </si>
  <si>
    <t>IDG资本领投，青岛溪桥投资管理、常高新集团跟投</t>
  </si>
  <si>
    <t>道莅智远</t>
  </si>
  <si>
    <t>新型控制器及数字化解决方案提供商</t>
  </si>
  <si>
    <t>博印芯</t>
  </si>
  <si>
    <t>压电喷墨打印头及配套技术研发商</t>
  </si>
  <si>
    <t>昊辰资本，青锐创投</t>
  </si>
  <si>
    <t>黑漫科技</t>
  </si>
  <si>
    <t>机器人灵巧手产品研发商</t>
  </si>
  <si>
    <t>零一创投</t>
  </si>
  <si>
    <t>薇光点亮</t>
  </si>
  <si>
    <t>AI Agent智能硬件研发商</t>
  </si>
  <si>
    <t>红杉中国、蓝驰创投领投，九合创投、鼎晖投资、蚂蚁集团、鞍羽消费跟投</t>
  </si>
  <si>
    <t>墨光新能</t>
  </si>
  <si>
    <t>新型热管理材料及解决方案提供商</t>
  </si>
  <si>
    <t>中鑫资本，明道创投，苏州天使母基金</t>
  </si>
  <si>
    <t>帕西尼感知科技</t>
  </si>
  <si>
    <t>具身感知通用智能解决方案提供商</t>
  </si>
  <si>
    <t>黄浦江资本、凯泰资本、信安资本领投，珠海科技产业集团、善达投资、海川基金、等跟投</t>
  </si>
  <si>
    <t>深度智康</t>
  </si>
  <si>
    <t>海丰至诚，盛景嘉成，雍创资本，盛景网联</t>
  </si>
  <si>
    <t>Futuring Robot</t>
  </si>
  <si>
    <t>家庭通用具身机器人研发商</t>
  </si>
  <si>
    <t>博裕创投领投，联新资本等跟投</t>
  </si>
  <si>
    <t>皓翊星辰</t>
  </si>
  <si>
    <t>运动机器人研发商</t>
  </si>
  <si>
    <t>绿洲资本Vitalbridge</t>
  </si>
  <si>
    <t>来牟科技</t>
  </si>
  <si>
    <t>智能割草机器人研发生产商</t>
  </si>
  <si>
    <t>正景资本，清新资本</t>
  </si>
  <si>
    <t>珞珈伊云</t>
  </si>
  <si>
    <t>高端激光扫描探测装备研发商</t>
  </si>
  <si>
    <t>中博聚力领投，光谷产业投资、湖北基金、长江资本跟投</t>
  </si>
  <si>
    <t>LiberAI</t>
  </si>
  <si>
    <t>真格基金 ，红杉中国</t>
  </si>
  <si>
    <t>深海智人</t>
  </si>
  <si>
    <t>深海高端智能机器人研发生产商</t>
  </si>
  <si>
    <t>光合创投，行至资本</t>
  </si>
  <si>
    <t>津镭光电</t>
  </si>
  <si>
    <t>飞秒激光直写技术研发商</t>
  </si>
  <si>
    <t>北航投资，高信资本</t>
  </si>
  <si>
    <t>南科天润能源</t>
  </si>
  <si>
    <t>固态电池核心材料研发商</t>
  </si>
  <si>
    <t>力鼎资本，国华三新，信源天程</t>
  </si>
  <si>
    <t>领航微系统</t>
  </si>
  <si>
    <t>功能薄膜与先进MEMS传感器研发商</t>
  </si>
  <si>
    <t>渤信资本 ，凯莱瑞</t>
  </si>
  <si>
    <t>具身科技</t>
  </si>
  <si>
    <t>具身人形机器人研发商</t>
  </si>
  <si>
    <t>成都科创投集团</t>
  </si>
  <si>
    <t>佰为深科技</t>
  </si>
  <si>
    <t>微型光纤传感器核心技术产品开发商</t>
  </si>
  <si>
    <t>板石智能</t>
  </si>
  <si>
    <t>工业三维视觉检测解决方案提供商</t>
  </si>
  <si>
    <t>元禾控股，建信股权，当看同创</t>
  </si>
  <si>
    <t>至华能源</t>
  </si>
  <si>
    <t>硅碳负极材料研发商</t>
  </si>
  <si>
    <t>浙创投</t>
  </si>
  <si>
    <t>芯视界科技</t>
  </si>
  <si>
    <t>量子点光谱传感解决方案提供商</t>
  </si>
  <si>
    <t>远东宏信(03360)</t>
  </si>
  <si>
    <t>寻界科技</t>
  </si>
  <si>
    <t>具身机器人技术应用商服务商</t>
  </si>
  <si>
    <t>松灵机器人，Brizan Ventures</t>
  </si>
  <si>
    <t>脉塔智能</t>
  </si>
  <si>
    <t>智能伺服执行器研发商</t>
  </si>
  <si>
    <t>深圳华强(000062) ，涌铧投资</t>
  </si>
  <si>
    <t>中金资本，洪创投资，广州产投，谢诺投资，吴中金控集团，涌铧投资</t>
  </si>
  <si>
    <t>悟时创新</t>
  </si>
  <si>
    <t>具身智能一站式智造服务平台提供商</t>
  </si>
  <si>
    <t>同创伟业</t>
  </si>
  <si>
    <t>银河通用机器人</t>
  </si>
  <si>
    <t>具身多模态大模型通用机器人研发商</t>
  </si>
  <si>
    <t>25亿元</t>
  </si>
  <si>
    <t>上海国盛集团，中国石化(SNP) ，中信集团，中国银行(03988) ，上汽集团(600104) ，中芯聚源，亦庄国投等</t>
  </si>
  <si>
    <t>晨道资本领投，国科投资、北工投资、九合创投等跟投</t>
  </si>
  <si>
    <t>智慧物流机器人服务商</t>
  </si>
  <si>
    <t>兴泰资本，经纬创投</t>
  </si>
  <si>
    <t>红杉中国，创源股份(300703) ，徐汇资本，钧石创投</t>
  </si>
  <si>
    <t>知卓安妮，中信证券投资，中信金石</t>
  </si>
  <si>
    <t>相控阵天线解决方案提供商</t>
  </si>
  <si>
    <t>成华科创投，惟一资本，顺融资本，粤开资本</t>
  </si>
  <si>
    <t>超精密运动控制及整机一体化解决方案提供商</t>
  </si>
  <si>
    <t>工业软件CAX一体化技术平台</t>
  </si>
  <si>
    <t>纳新投资，巨石创投，南京市创新投资集团，西藏国创，创钰投资</t>
  </si>
  <si>
    <t>数控机床制造商</t>
  </si>
  <si>
    <t>青松基金</t>
  </si>
  <si>
    <t>高能量密度固态锂电池制造商</t>
  </si>
  <si>
    <t>6000万元</t>
  </si>
  <si>
    <t>红禾资本领投，智动力(300686) 、动平衡资本跟投</t>
  </si>
  <si>
    <t>储能系统产品及解决方案提供商</t>
  </si>
  <si>
    <t>光宝科技，浙江贝盛控股，中晟智慧能源等</t>
  </si>
  <si>
    <t>激光直写光刻类设备研发商</t>
  </si>
  <si>
    <t>钟楼金控集团，元科创投，常州政府基金，富漾盛创投，常州钟楼新城投资建设有限公司</t>
  </si>
  <si>
    <t>具身通用机器人产品研发制造商</t>
  </si>
  <si>
    <t>华义创投领投，讯飞创投、泰达科投、博众精工(688097) 等跟投</t>
  </si>
  <si>
    <t>硫化物固态电解质粉体研发商</t>
  </si>
  <si>
    <t>元禾原点领投，天泓投资跟投</t>
  </si>
  <si>
    <t>硅基光电集成芯片设计与应用服务商</t>
  </si>
  <si>
    <t>磐霖资本领投、同方投资、汇泽众邦跟投</t>
  </si>
  <si>
    <t>锂电池负极材料研发商</t>
  </si>
  <si>
    <t>泸州工投</t>
  </si>
  <si>
    <t>江苏海鸿集团，江苏海晟控股集团，江苏海润城市发展集团，江苏长江口开发集团</t>
  </si>
  <si>
    <t>具身智能大模型技术研发应用服务商</t>
  </si>
  <si>
    <t>和聚百川</t>
  </si>
  <si>
    <t>金创投，泰中合投资，余杭国投集团，杭州资本</t>
  </si>
  <si>
    <t>智能物流解决方案提供商</t>
  </si>
  <si>
    <t>两山国控集团、中益仁资本领投</t>
  </si>
  <si>
    <t>具身大脑技术研发商</t>
  </si>
  <si>
    <t>基石创投，半山创投，首都科技发展集团，涌铧投资，浦东创投，盈远投资等</t>
  </si>
  <si>
    <t>固态电池解决方案供应商</t>
  </si>
  <si>
    <t>铁流股份(603926) ，晓池资本</t>
  </si>
  <si>
    <t>扩散焊一体化解决方案提供商</t>
  </si>
  <si>
    <t>陕科创投，陕西金资基金，深担集团，中信金石，元禾控股</t>
  </si>
  <si>
    <t>新一代轴向聚能磁电机及控制系统研发商</t>
  </si>
  <si>
    <t>恒旭资本领投，南京创投、新四军基金会等跟投</t>
  </si>
  <si>
    <t>物流自动化设备制造商</t>
  </si>
  <si>
    <t>激光测风设备及解决方案提供商</t>
  </si>
  <si>
    <t>天启资本，巨石创投</t>
  </si>
  <si>
    <t>工业机器视觉传感器类产品生产商</t>
  </si>
  <si>
    <t>华方资本，宁波市创业投资引导基金</t>
  </si>
  <si>
    <t>电流传感器研发商</t>
  </si>
  <si>
    <t>阳光电源(300274) ，险峰K2VC</t>
  </si>
  <si>
    <t>激光材料及高精密激光器研发商</t>
  </si>
  <si>
    <t>青岛科创母基金，科创天工投资</t>
  </si>
  <si>
    <t>新材料及3D打印技术服务商</t>
  </si>
  <si>
    <t>上海弘晖</t>
  </si>
  <si>
    <t>钠离子电池研发生产商</t>
  </si>
  <si>
    <t>遂宁产投</t>
  </si>
  <si>
    <t>天使++轮/天使+++轮</t>
  </si>
  <si>
    <t>远景科技集团，顺禧基金，红杉中国，线性资本，高瓴创投，百度风投，华业天成等</t>
  </si>
  <si>
    <t>Micro LED微显示器制造商</t>
  </si>
  <si>
    <t>渝富控股，恒旭资本，华勤技术(603296) ，金浦投资</t>
  </si>
  <si>
    <t>电子设备制造商</t>
  </si>
  <si>
    <t>同创普润</t>
  </si>
  <si>
    <t>半导体封测智能包装与封测AMHS解决方案提供商</t>
  </si>
  <si>
    <t>连云港工投集团</t>
  </si>
  <si>
    <t>海洋具身机器人研发商</t>
  </si>
  <si>
    <t>南京春潮基金，中信农业基金，北京上河动量，誉尊基金</t>
  </si>
  <si>
    <t>硅基OLED微显示技术研发商</t>
  </si>
  <si>
    <t>工业AI解决方案提供商</t>
  </si>
  <si>
    <t>山东省新动能基金，经发基金</t>
  </si>
  <si>
    <t>机械设备设计制造与环保科技商</t>
  </si>
  <si>
    <t>弘日宝玺</t>
  </si>
  <si>
    <t>激光设备制造商</t>
  </si>
  <si>
    <t>挑战者创投，卓源亚洲</t>
  </si>
  <si>
    <t>智能制造解决方案提供商</t>
  </si>
  <si>
    <t>光华梧桐</t>
  </si>
  <si>
    <t>准分子激光器研发商</t>
  </si>
  <si>
    <t>智能头显设备研发商</t>
  </si>
  <si>
    <t>天泽资本</t>
  </si>
  <si>
    <t>灵巧手及通用操作平台研发商</t>
  </si>
  <si>
    <t>顺义科创领投，云时资本、微星宁元跟投</t>
  </si>
  <si>
    <t>AI便携音视频硬件研发商</t>
  </si>
  <si>
    <t>米哈游</t>
  </si>
  <si>
    <t>超导设备研发生产销售商</t>
  </si>
  <si>
    <t>IDG资本，国泰君安创新投资，国开科创，东方富海，晨熹资本，达晨财智</t>
  </si>
  <si>
    <t>太阳能光伏产品研发商</t>
  </si>
  <si>
    <t>宁波天使投资引导基金，见识投资</t>
  </si>
  <si>
    <t>智能设备制造商</t>
  </si>
  <si>
    <t>国厚资本</t>
  </si>
  <si>
    <t>光电传感器芯片设计商</t>
  </si>
  <si>
    <t>思比科</t>
  </si>
  <si>
    <t>轮式四足机器人研发商</t>
  </si>
  <si>
    <t>A+++轮</t>
  </si>
  <si>
    <t>滨州国投集团、魏桥创业集团、滨化股份(601678) 领投，和达集团、德诺资本跟投</t>
  </si>
  <si>
    <t>全局柔性无人智能工厂解决方案提供商</t>
  </si>
  <si>
    <t>湖北天运汽车电器</t>
  </si>
  <si>
    <t>智能特种机器人研发制造商</t>
  </si>
  <si>
    <t>中信投资控股，中信证券投资，南通投管，坤泰资本，杉杉创投</t>
  </si>
  <si>
    <t>道彤投资</t>
  </si>
  <si>
    <t>微显示芯片研发商</t>
  </si>
  <si>
    <t>宁波中桓</t>
  </si>
  <si>
    <t>托盘仓储机器人研发商</t>
  </si>
  <si>
    <t>国发创投领投，张家港产业资本中心跟投</t>
  </si>
  <si>
    <t>浸没式液冷技术解决方案提供商</t>
  </si>
  <si>
    <t>长缆科技(002879) ，长江资本</t>
  </si>
  <si>
    <t>自动驾驶全速域整体解决方案提供商</t>
  </si>
  <si>
    <t>机器人一体化关节研发商</t>
  </si>
  <si>
    <t>深投控领投，光合创投、东方嘉富、钧山PEAKVEST、两江资本、钧犀资本跟投</t>
  </si>
  <si>
    <t>锂离子电池负极材料服务提供商</t>
  </si>
  <si>
    <t>纳尔股份(002825) 领投，中科创星等跟投</t>
  </si>
  <si>
    <t>薄膜压电喷墨打印芯片研发商</t>
  </si>
  <si>
    <t>苏州天使母基金</t>
  </si>
  <si>
    <t>锂电池超混电极整体解决方案供应商</t>
  </si>
  <si>
    <t>领创资本领投，杭州科创集团、杭州资本、高新金投集团、乐推创投等跟投</t>
  </si>
  <si>
    <t>具身通用大模型与机器人研发商</t>
  </si>
  <si>
    <t>深高新投领投，晓池资本、卓源亚洲跟投</t>
  </si>
  <si>
    <t>小米科技(01810) 、红杉中国领投</t>
  </si>
  <si>
    <t>潮玩3D打印解决方案提供商</t>
  </si>
  <si>
    <t>工业激光设备研发商</t>
  </si>
  <si>
    <t>北京高精尖投资管理</t>
  </si>
  <si>
    <t>高性能MEMS传感器研发商</t>
  </si>
  <si>
    <t>国鼎资本</t>
  </si>
  <si>
    <t>超快脉冲激光器研发生产商</t>
  </si>
  <si>
    <t>力中投资，国联投资，锡创投</t>
  </si>
  <si>
    <t>一站式工业视觉检测与智能生产解决方案提供商</t>
  </si>
  <si>
    <t>北京高精尖产业发展基金、北工投资、华控基金领投，联想之星、国海创新资本、交银资本、深创投、源码资本、英诺基金、IDG资本等跟投</t>
  </si>
  <si>
    <t>消费级水下机器人研发商</t>
  </si>
  <si>
    <t>开物投资</t>
  </si>
  <si>
    <t>硬碳负极材料研发商</t>
  </si>
  <si>
    <t>滴滴出行</t>
  </si>
  <si>
    <t>Pre-B+轮</t>
  </si>
  <si>
    <t>涌铧投资</t>
  </si>
  <si>
    <t>具身智能系统研发商</t>
  </si>
  <si>
    <t>4.55亿美元</t>
  </si>
  <si>
    <t>高瓴创投、红杉中国领投，美团龙珠、中金资本、凯联资本、东方富海、CE Innovation Capital、美团(03690) 、启明创投、线性资本、蓝驰创投、襄禾资本、洪泰基金、TCL创投、孚腾资本、首程控股、建发新兴投资、恒旭资本、国汽投资、京国瑞管理公司、上海国投等跟投</t>
  </si>
  <si>
    <t>高端压铸成套设备解决方案提供商</t>
  </si>
  <si>
    <t>中信金石，中信证券投资，建信金投</t>
  </si>
  <si>
    <t>具身机器人大脑研发商</t>
  </si>
  <si>
    <t>消费智能影像服务提供商</t>
  </si>
  <si>
    <t>氢燃料电池产品研发商</t>
  </si>
  <si>
    <t>钟楼金控集团</t>
  </si>
  <si>
    <t>全固态深紫外激光器研发生产商</t>
  </si>
  <si>
    <t>中关村协同基金，北工投资</t>
  </si>
  <si>
    <t>高性能灵巧手研发商</t>
  </si>
  <si>
    <t>达晨财智、春华资本领投，渶策资本、南山战新投、弘晖基金跟投</t>
  </si>
  <si>
    <t>原生人形机器人基础模型开发商</t>
  </si>
  <si>
    <t>高瓴创投，星海图等</t>
  </si>
  <si>
    <t>高性能锂电硅碳负极材料供应商</t>
  </si>
  <si>
    <t>武岳峰科创，圣泉新能源，华胥基金，信安资本，万向一二三</t>
  </si>
  <si>
    <t>硅碳负极产品提供商</t>
  </si>
  <si>
    <t>复创投资</t>
  </si>
  <si>
    <t>新能源及新材料智能制造系统装备提供商</t>
  </si>
  <si>
    <t>9997.5万元</t>
  </si>
  <si>
    <t>欣旺达(300207) ，工控资本，广汽资本，鹏辉能源(300438) ，多氟多集团(002407) ，中创新航(03931) ，亿纬锂能(300014) 等</t>
  </si>
  <si>
    <t>工业机器人及非标自动化设备制造商</t>
  </si>
  <si>
    <t>金光紫金</t>
  </si>
  <si>
    <t>沛坤投资</t>
  </si>
  <si>
    <t>涌铧投资，半山创投</t>
  </si>
  <si>
    <t>全栈式特种机器人研发商</t>
  </si>
  <si>
    <t>凯迪股份(605288)</t>
  </si>
  <si>
    <t>高端液压阀产品研发生产商</t>
  </si>
  <si>
    <t>浙大友创</t>
  </si>
  <si>
    <t>真空产品研发商</t>
  </si>
  <si>
    <t>昆山工研院</t>
  </si>
  <si>
    <t>激光加工设备研发商</t>
  </si>
  <si>
    <t>普希德工具</t>
  </si>
  <si>
    <t>新能源电池相关研发商</t>
  </si>
  <si>
    <t>田间管理机器人综合解决方案提供商</t>
  </si>
  <si>
    <t>啟赋资本，梁创投</t>
  </si>
  <si>
    <t>无源光纤通信器件研发商</t>
  </si>
  <si>
    <t>新能源电池材料研发生产商</t>
  </si>
  <si>
    <t>海愿资本，东莞科创金融集团</t>
  </si>
  <si>
    <t>溥泉资本，智元机器人，银河通用，奥普特(688686) ，银河源汇等</t>
  </si>
  <si>
    <t>健瓴资本，普华资本，华福投资，毅达资本，乾融创禾资本，盛景嘉成，图灵资管，凯洋基金，武汉高科集团，贵州双龙开投集团，山东产投，华控基金，华民投，一村资本，领阳投资等</t>
  </si>
  <si>
    <t>家庭陪伴机器人研发商</t>
  </si>
  <si>
    <t>PKSHA SPARX Algorithm Fund，XBOTPARK基金</t>
  </si>
  <si>
    <t>上海国投，京国瑞管理公司</t>
  </si>
  <si>
    <t>PEM制氢膜电极相关产品研发商</t>
  </si>
  <si>
    <t>50万元</t>
  </si>
  <si>
    <t>深圳维绅科技有限公司</t>
  </si>
  <si>
    <t>晋安乾景</t>
  </si>
  <si>
    <t>智能制造整体解决方案提供商</t>
  </si>
  <si>
    <t>山证投资</t>
  </si>
  <si>
    <t>半导体检测设备研发商</t>
  </si>
  <si>
    <t>好买财富，金沙江联合资本，苏高新金控，国发创投</t>
  </si>
  <si>
    <t>特种无人装备解决方案提供商</t>
  </si>
  <si>
    <t>盛堃投资</t>
  </si>
  <si>
    <t>通用具身智能机器人研发商</t>
  </si>
  <si>
    <t>线性资本、普华资本领投，钧山PEAKVEST、顺为资本、百度风投跟投</t>
  </si>
  <si>
    <t>智能机器人及核心零部件研发商</t>
  </si>
  <si>
    <t>上汽集团(600104) ，东方精工(002611) ，建银国际，正景资本等</t>
  </si>
  <si>
    <t>半导体核心检测设备研发商</t>
  </si>
  <si>
    <t>三维建模技术研发商</t>
  </si>
  <si>
    <t>禾永投资</t>
  </si>
  <si>
    <t>智能装备制造商</t>
  </si>
  <si>
    <t>磐厚资本，高信资本</t>
  </si>
  <si>
    <t>3D打印建筑装饰服务商</t>
  </si>
  <si>
    <t>无人机与机器人动力系统制造商</t>
  </si>
  <si>
    <t>9874万元</t>
  </si>
  <si>
    <t>南昌高新招商集团，江西金控，南方资产，深创投，越疆科技(02432) ，南昌产投，北汽产业投资</t>
  </si>
  <si>
    <t>人形机器人仿生交互技术研发商</t>
  </si>
  <si>
    <t>凡创资本</t>
  </si>
  <si>
    <t>L4级道路移动机器人研发商</t>
  </si>
  <si>
    <t>家用服务智能机器人研发商</t>
  </si>
  <si>
    <t>安徽省铁路发展基金，动平衡资本</t>
  </si>
  <si>
    <t>工业UV喷墨打印系统解决方案提供商</t>
  </si>
  <si>
    <t>五源资本，恒旭资本</t>
  </si>
  <si>
    <t>E轮</t>
  </si>
  <si>
    <t>6亿元</t>
  </si>
  <si>
    <t>朝希资本、达晨财智领投，中证投资、鋆昊资本、华金资本(000532) 等跟投</t>
  </si>
  <si>
    <t>CMOS图像传感器研发商</t>
  </si>
  <si>
    <t>1.66亿美元</t>
  </si>
  <si>
    <t>CPE源峰，高瓴资本，瑞银集团，Arc Avenue，博裕投资，富国资本，广发基金，景林投资，Mirae Asset，高毅资产，Yield Royal Investment，3W Fund Management，钟鼎资本，工银理财，宁远资本，源码资本，Wt capital，易方达基金，华夏基金，Cithara Fund，磐京基金，惠理基金(00806) ，东方资产，招商投资</t>
  </si>
  <si>
    <t>具身智能人形机器人研发商</t>
  </si>
  <si>
    <t>汉理资本</t>
  </si>
  <si>
    <t>液流电池关键材料研发商</t>
  </si>
  <si>
    <t>成都高科，策源资本</t>
  </si>
  <si>
    <t>锂电池研发生产商</t>
  </si>
  <si>
    <t>江投集团</t>
  </si>
  <si>
    <t>消费级外骨骼设备设计研发商</t>
  </si>
  <si>
    <t>蚂蚁集团，Sofina，Granite Asia</t>
  </si>
  <si>
    <t>赛泽资本</t>
  </si>
  <si>
    <t>通用人形机器人研发生产商</t>
  </si>
  <si>
    <t>赛富投资基金领投，诺力股份(603611) 、民爆光电(301362) 跟投</t>
  </si>
  <si>
    <t>润泽科技(300442) 领投，接力天使、泽奕资本、宁波东力(002164) 跟投</t>
  </si>
  <si>
    <t>合肥产投集团</t>
  </si>
  <si>
    <t>AI智能检测解决方案提供商</t>
  </si>
  <si>
    <t>唐圣投资，浦东创投集团</t>
  </si>
  <si>
    <t>京东科技</t>
  </si>
  <si>
    <t>泊富基金</t>
  </si>
  <si>
    <t>家用清洁机器人研发制造商</t>
  </si>
  <si>
    <t>消费级具身智能产品研发商</t>
  </si>
  <si>
    <t>理想汽车(LI) ，元璟资本</t>
  </si>
  <si>
    <t>西高投，博华资本，金安产业发展投资，吉六零基金，西安财金等</t>
  </si>
  <si>
    <t>通用具身大模型研发商</t>
  </si>
  <si>
    <t>顺为资本、云锋基金领投，达晨财智、银河源汇、图灵资本、新鼎资本、庚辛资本等跟投</t>
  </si>
  <si>
    <t>人工智能触觉传感芯片及应用解决方案研发商</t>
  </si>
  <si>
    <t>XR芯片研发商</t>
  </si>
  <si>
    <t>宏力达(688330) ，江苏建银投资，台州国投，椒江工投集团</t>
  </si>
  <si>
    <t>具身智能类脑技术研发商</t>
  </si>
  <si>
    <t>天使+++轮/天使++++轮</t>
  </si>
  <si>
    <t>驰星创投，领屹投资，琢石投资，硅港资本等</t>
  </si>
  <si>
    <t>搅拌摩擦焊接装备制造商</t>
  </si>
  <si>
    <t>服装纺织智能自动化解决方案提供商</t>
  </si>
  <si>
    <t>皓玺投资</t>
  </si>
  <si>
    <t>MEMS产品及方案供应商</t>
  </si>
  <si>
    <t>富华资本，赛微电子(300456) ，军合投资</t>
  </si>
  <si>
    <t>工业级飞秒激光器及其核心器件研发商</t>
  </si>
  <si>
    <t>精确资本领投，瑞力投资、数享创投跟投</t>
  </si>
  <si>
    <t>工业级金属3D打印高端解决方案提供商</t>
  </si>
  <si>
    <t>储能热管理系统研发商</t>
  </si>
  <si>
    <t>盛堃投资，元初基金，众捷汽车</t>
  </si>
  <si>
    <t>工业设备制造商</t>
  </si>
  <si>
    <t>中国新兴资产</t>
  </si>
  <si>
    <t>昌达投资</t>
  </si>
  <si>
    <t>机器视觉解决方案提供商</t>
  </si>
  <si>
    <t>中金广东</t>
  </si>
  <si>
    <t>智能制造系统解决方案提供商</t>
  </si>
  <si>
    <t>激光加工技术研发商</t>
  </si>
  <si>
    <t>洪泰基金，欣园投资，国联投资，佳瑞联盈</t>
  </si>
  <si>
    <t>磁悬浮超高速电机研发商</t>
  </si>
  <si>
    <t>杭州金投，中关村资本，基石资本，临芯投资，浙江省创新投资集团</t>
  </si>
  <si>
    <t>电池制造商</t>
  </si>
  <si>
    <t>联诚精密(002921) ，北京民商创业</t>
  </si>
  <si>
    <t>奇安投资</t>
  </si>
  <si>
    <t>高端工业镜头产品研发商</t>
  </si>
  <si>
    <t>东莞科创金融集团，深担集团，松禾资本，林润集团，洋铭投资</t>
  </si>
  <si>
    <t>全球柔性物流解决方案提供商</t>
  </si>
  <si>
    <t>盛业控股，后浪资本，和基资本，厚道兄弟投资</t>
  </si>
  <si>
    <t>财鑫集团</t>
  </si>
  <si>
    <t>特种电机系统设计研发商</t>
  </si>
  <si>
    <t>宇宙集团</t>
  </si>
  <si>
    <t>溥泉资本，优山资本，盛裕资本，两江资本，华业天成，浦科投资，渝富控股</t>
  </si>
  <si>
    <t>海望资本领投，元禾厚望、安徽省高新投跟投</t>
  </si>
  <si>
    <t>金属智能增材制造整体解决方案提供商</t>
  </si>
  <si>
    <t>空天宏远，敦成投资，中财融商</t>
  </si>
  <si>
    <t>半导体光学检测设备研发生产商</t>
  </si>
  <si>
    <t>前海母基金</t>
  </si>
  <si>
    <t>营业收入（亿元）</t>
  </si>
  <si>
    <t>毛利率</t>
  </si>
  <si>
    <t>净利润</t>
  </si>
  <si>
    <t>分产品</t>
  </si>
  <si>
    <t>营业收入（分产品）</t>
  </si>
  <si>
    <t>营业收入占比（分产品）</t>
  </si>
  <si>
    <t>产业链环节</t>
  </si>
  <si>
    <t>主要涉及到的工艺环节</t>
  </si>
  <si>
    <t>上市公司名称</t>
  </si>
  <si>
    <t>股票代码</t>
  </si>
  <si>
    <t>成立日期</t>
  </si>
  <si>
    <t>上市日期</t>
  </si>
  <si>
    <t>光伏领域核心产品设备</t>
  </si>
  <si>
    <t>光伏下游主要客户</t>
  </si>
  <si>
    <t>市占率</t>
  </si>
  <si>
    <t>2025Q3</t>
  </si>
  <si>
    <t>2025Q3
同比(%)</t>
  </si>
  <si>
    <t>产品名称</t>
  </si>
  <si>
    <t>2025H1</t>
  </si>
  <si>
    <t>PE</t>
  </si>
  <si>
    <t>硅片（主要）、电池、组件设备</t>
  </si>
  <si>
    <t>拉晶、切方、切片、清洗</t>
  </si>
  <si>
    <t>晶盛机电</t>
  </si>
  <si>
    <t>300316.SZ</t>
  </si>
  <si>
    <t>1、硅片制造端
（1）拉晶：全自动晶体生长设备（单晶硅生长炉）
（2）切方：环线截断机、环形金刚线开方机、滚圆磨面一体机
（3）切片：金刚线切片机
（4）清洗：脱胶插片清洗一体机、晶片分选检测设备等；
2、电池端
PECVD、扩散、退火、单腔室多舟 ALD 和电池切割边缘钝化（EPD）设备等多种电池工艺设备；
3、组件端
排版机、边框自动上料机、灌胶检测仪等多道工序的组件设备产线</t>
  </si>
  <si>
    <t>TCL 中环（约50%）、晶科、晶澳、高景、双良等</t>
  </si>
  <si>
    <t>单晶炉市场主要厂商为晶盛电机与连城数控，晶盛机电占主导</t>
  </si>
  <si>
    <t>设备及其服务</t>
  </si>
  <si>
    <t>蓝宝石材料</t>
  </si>
  <si>
    <t>其他</t>
  </si>
  <si>
    <t>拉晶、切方、切片</t>
  </si>
  <si>
    <t>连城数控</t>
  </si>
  <si>
    <t>920368.BJ</t>
  </si>
  <si>
    <t>隆基绿能（连城数控实控人为隆基董事长，24年销售额21.81亿元，占比38.47%）</t>
  </si>
  <si>
    <t>光伏切割设备市占率第二，约30%</t>
  </si>
  <si>
    <t>晶体生长及加工设备</t>
  </si>
  <si>
    <t>辅材及其他业务收入</t>
  </si>
  <si>
    <t>电池片及组件设备</t>
  </si>
  <si>
    <t>其他配套设备</t>
  </si>
  <si>
    <t>硅片设备</t>
  </si>
  <si>
    <t>切方、切片</t>
  </si>
  <si>
    <t>高测股份</t>
  </si>
  <si>
    <t>688556.SH</t>
  </si>
  <si>
    <t>硅片切割设备：截断机、开方机、磨抛一体机、金刚线切片机</t>
  </si>
  <si>
    <t>前五大客户占比53.45%，分别为晶科能源（18.78%）、晶澳科技（14.16%）、高景太阳能（7.81%）、润阳光伏（6.43%）、京运通（6.26%）</t>
  </si>
  <si>
    <t xml:space="preserve">光伏切割设备市占率第一，40-60%
</t>
  </si>
  <si>
    <t>光伏切割装备</t>
  </si>
  <si>
    <t>硅片及切割加工服务</t>
  </si>
  <si>
    <t>光伏切割耗材</t>
  </si>
  <si>
    <t>其他高硬脆切割设备及耗材</t>
  </si>
  <si>
    <t>其他业务</t>
  </si>
  <si>
    <t>服务及其他</t>
  </si>
  <si>
    <t>宇晶股份</t>
  </si>
  <si>
    <t>002943.SZ</t>
  </si>
  <si>
    <t>硅片切磨抛设备：多线切割机</t>
  </si>
  <si>
    <t>双良节能（24年销售额17.83亿元，占比17.18%）等</t>
  </si>
  <si>
    <t>光伏切割设备市占率约5%-8%</t>
  </si>
  <si>
    <t>高精密数控切、磨、抛设备</t>
  </si>
  <si>
    <t>硅片及切片加工服务</t>
  </si>
  <si>
    <t>热场系统系列产品</t>
  </si>
  <si>
    <t>其他(零部件销售)</t>
  </si>
  <si>
    <t>金刚石线</t>
  </si>
  <si>
    <t>多线切割机技术改造</t>
  </si>
  <si>
    <t>电池片设备</t>
  </si>
  <si>
    <t>镀膜、热制程设备</t>
  </si>
  <si>
    <t>北方华创</t>
  </si>
  <si>
    <t>002371.SZ</t>
  </si>
  <si>
    <t>（1）镀膜：LPCVD（TOPCon）、PECVD（适用PERC、TOPCon、HJT、BC）
（2）热制程：扩散、氧化、退火设备（低压扩散设备、低压硼扩设备市占率领先）</t>
  </si>
  <si>
    <t>主要为隆基股份、晶澳太阳能，覆盖行业所有头部客户</t>
  </si>
  <si>
    <t>24年光伏设备市占率21%</t>
  </si>
  <si>
    <t>电子工艺装备</t>
  </si>
  <si>
    <t>电子元件</t>
  </si>
  <si>
    <t>其他业务收入</t>
  </si>
  <si>
    <t>电池片全段</t>
  </si>
  <si>
    <t>捷佳伟创</t>
  </si>
  <si>
    <t>300724.SZ</t>
  </si>
  <si>
    <t>全球唯一实现TOPCon、HJT、钙钛矿设备全工艺覆盖的厂商；TOPCon设备市占率超70%，核心PECVD设备市占率超50%；钙钛矿设备效率达26.6%，叠层技术突破32%</t>
  </si>
  <si>
    <t>TOPCon、HJT、钙钛矿设备</t>
  </si>
  <si>
    <t>覆盖光伏电池行业所有头部客户</t>
  </si>
  <si>
    <t>24年光伏设备市占率15%</t>
  </si>
  <si>
    <t>工艺设备</t>
  </si>
  <si>
    <t>自动化设备</t>
  </si>
  <si>
    <t>配件</t>
  </si>
  <si>
    <t>拉普拉斯</t>
  </si>
  <si>
    <t>688726.SH</t>
  </si>
  <si>
    <t>（1）镀膜：LPCVD、PECVD
（2）热制程：扩散、氧化、退火设备</t>
  </si>
  <si>
    <t>主要为隆基股份、覆盖行业所有头部客户</t>
  </si>
  <si>
    <t>LPCVD（Topcon） 市占率超60%</t>
  </si>
  <si>
    <t>光伏领域设备</t>
  </si>
  <si>
    <t>1、光伏电池片设备</t>
  </si>
  <si>
    <t>--</t>
  </si>
  <si>
    <t>1）镀膜设备</t>
  </si>
  <si>
    <t>LPCVD</t>
  </si>
  <si>
    <t>PECVD</t>
  </si>
  <si>
    <t>2）热制程设备</t>
  </si>
  <si>
    <t>磷扩散设备</t>
  </si>
  <si>
    <t>硼扩散设备</t>
  </si>
  <si>
    <t>氧化退火设备</t>
  </si>
  <si>
    <t>3）自动化及其他设备</t>
  </si>
  <si>
    <t>2、其他光伏设备</t>
  </si>
  <si>
    <t>配套产品及服务</t>
  </si>
  <si>
    <t>半导体领域设备</t>
  </si>
  <si>
    <t>组件设备（全）</t>
  </si>
  <si>
    <t>金辰股份</t>
  </si>
  <si>
    <t>603396.SH</t>
  </si>
  <si>
    <t>国内太阳能光伏组件自动化生产装备领域的技术领先企业；核心产品涵盖高效串焊机、层压机及自动化产线；在高效电池（TOPCon/HJT）适配设备上研发速度快，技术领先；组件端设备市占率国内领先；与捷佳伟创、迈为股份等形成差异化竞争；客户包括通威、隆基等头部组件企业。</t>
  </si>
  <si>
    <t>组件、TOPCon/HJT</t>
  </si>
  <si>
    <t>主要客户为晶科能源、晶澳科技、天合光能、华晟新能源、东方日升、通威股份</t>
  </si>
  <si>
    <t>24年组件设备国内市占率约40%</t>
  </si>
  <si>
    <t>光伏组件自动化生产线</t>
  </si>
  <si>
    <t>光伏电池自动化设备</t>
  </si>
  <si>
    <t>其他功能性设备及配套件</t>
  </si>
  <si>
    <t>丝网印刷、镀膜（HJT）</t>
  </si>
  <si>
    <t>迈为股份</t>
  </si>
  <si>
    <t>300751.SZ</t>
  </si>
  <si>
    <t>太阳能丝网印刷设备市占率全球第一，HJT电池设备技术全球领先；独创的钢板印刷技术将电池转换效率提升至26%以上；HJT整线设备已实现首次出口，降本增效效果显著。</t>
  </si>
  <si>
    <t>太阳能丝网印刷设备、HJT设备</t>
  </si>
  <si>
    <t>主要为布局HJT路线的电池厂商，包括隆基股份、通威股份、天合光能、晶澳科技、阿特斯、东方日升等</t>
  </si>
  <si>
    <t>24年国内HJT设备市占率70%</t>
  </si>
  <si>
    <t>太阳能电池丝网印刷成套设备</t>
  </si>
  <si>
    <t>配件及其他</t>
  </si>
  <si>
    <t>单机</t>
  </si>
  <si>
    <t>激光</t>
  </si>
  <si>
    <t>帝尔激光</t>
  </si>
  <si>
    <t>300776.SZ</t>
  </si>
  <si>
    <t>光伏激光设备龙头，核心技术覆盖多种电池路线。其激光转印、开槽等技术是TOPCon、HJT、XBC乃至钙钛矿电池提效降本的关键工艺，无论哪种技术路线成为主流，其设备都可能被需要，产品已覆盖全球主要光伏电池厂商。</t>
  </si>
  <si>
    <t>光伏激光设备</t>
  </si>
  <si>
    <t>晶科能源、晶澳科技、天合光能、华晟新能源、东方日升、通威股份等</t>
  </si>
  <si>
    <t>24年光伏激光设备市占率超过80%</t>
  </si>
  <si>
    <t>太阳能电池激光加工设备</t>
  </si>
  <si>
    <t>备件、维修及技术服务</t>
  </si>
  <si>
    <t>消费电子类激光加工设备</t>
  </si>
  <si>
    <t>组件设备</t>
  </si>
  <si>
    <t>奥特维</t>
  </si>
  <si>
    <t>688516.SH</t>
  </si>
  <si>
    <t>奥特维以光伏设备为基石，通过技术平台化拓展至锂电和半导体领域，光伏核心产品包括：串焊机（多主栅/SMBB系列）、硅片分选机、激光划片机、排版机、单晶炉等</t>
  </si>
  <si>
    <t>硅片分选设备、串焊机龙头、层压机</t>
  </si>
  <si>
    <t>华晟新能源、东方日升、通威股份、隆基绿能、晶科能源、SpaceX</t>
  </si>
  <si>
    <t>24年全球串焊机市占率超60%</t>
  </si>
  <si>
    <t>光伏设备</t>
  </si>
  <si>
    <t>改造及其他</t>
  </si>
  <si>
    <t>锂电设备</t>
  </si>
  <si>
    <t>半导体</t>
  </si>
  <si>
    <t>行业分类</t>
  </si>
  <si>
    <t>国内行业数据</t>
  </si>
  <si>
    <t>单位</t>
  </si>
  <si>
    <t>25M2</t>
  </si>
  <si>
    <t>25M6</t>
  </si>
  <si>
    <t>25M7</t>
  </si>
  <si>
    <t>25M8</t>
  </si>
  <si>
    <t>25M9</t>
  </si>
  <si>
    <t>25M10</t>
  </si>
  <si>
    <t>25M11</t>
  </si>
  <si>
    <t>25M12</t>
  </si>
  <si>
    <t>26M1</t>
  </si>
  <si>
    <t>26M2</t>
  </si>
  <si>
    <t>25年累计</t>
  </si>
  <si>
    <t>26预测</t>
  </si>
  <si>
    <t>2030预测</t>
  </si>
  <si>
    <t>CAGR预测</t>
  </si>
  <si>
    <t>数据来源</t>
  </si>
  <si>
    <t>光伏</t>
  </si>
  <si>
    <t>光伏电池装机量</t>
  </si>
  <si>
    <t>GW</t>
  </si>
  <si>
    <t>215-270</t>
  </si>
  <si>
    <t>310-330</t>
  </si>
  <si>
    <t>2%-4%</t>
  </si>
  <si>
    <t>国家能源局(25年月度数据），中国光伏行业协会（历史年度数据），东吴证券研究所（26预测），IEA（2030年预测及CAGR）</t>
  </si>
  <si>
    <t>光伏电池产量</t>
  </si>
  <si>
    <t>万千瓦</t>
  </si>
  <si>
    <t>550-600GW</t>
  </si>
  <si>
    <t>中商产业研究院，中国国家统计局，兴业期货（26预测）</t>
  </si>
  <si>
    <t>光伏组件排产量</t>
  </si>
  <si>
    <t>Mysteel（25年月度数据），中国国家统计局（历史年度数据），Infolink（26、30预测数据）</t>
  </si>
  <si>
    <t>锂电</t>
  </si>
  <si>
    <t>动力及其他电池产量</t>
  </si>
  <si>
    <t>GWh</t>
  </si>
  <si>
    <t>1600-1800</t>
  </si>
  <si>
    <t>2100-2400</t>
  </si>
  <si>
    <t>锂电排产量</t>
  </si>
  <si>
    <t>大东时代智库</t>
  </si>
  <si>
    <t>动力电池销量</t>
  </si>
  <si>
    <t>850-950</t>
  </si>
  <si>
    <t>中国汽车动力电池产业创新联盟</t>
  </si>
  <si>
    <t>动力电池装车量</t>
  </si>
  <si>
    <t>700-800</t>
  </si>
  <si>
    <t>中金研究所（26年预测），中国汽车动力电池产业创新联盟(历史年度及月度数据）</t>
  </si>
  <si>
    <t>其中三元电池</t>
  </si>
  <si>
    <t>150-180</t>
  </si>
  <si>
    <t>其中磷酸铁锂电池</t>
  </si>
  <si>
    <t>550-600</t>
  </si>
  <si>
    <t>汽车</t>
  </si>
  <si>
    <t>新能源车产量</t>
  </si>
  <si>
    <t>万辆</t>
  </si>
  <si>
    <t>1700-1900</t>
  </si>
  <si>
    <t>2800-3000</t>
  </si>
  <si>
    <t>中国汽车工业协会（历史年度及月度数据），中国电动汽车百人会（26，30预测数据）</t>
  </si>
  <si>
    <t>新能源车销量</t>
  </si>
  <si>
    <t>1600-1700</t>
  </si>
  <si>
    <t>2200-2400</t>
  </si>
  <si>
    <t>中国汽车工业协会（历史年度及月度数据），乘联会（26，30预测数据）</t>
  </si>
  <si>
    <t>汽车销量</t>
  </si>
  <si>
    <t>2800-2850</t>
  </si>
  <si>
    <t>3200-3400</t>
  </si>
  <si>
    <t>中国汽车工业协会（历史年度及月度数据），麦肯锡（2030年预测）</t>
  </si>
  <si>
    <t>新能源车渗透率</t>
  </si>
  <si>
    <t>%</t>
  </si>
  <si>
    <t>55%-60%</t>
  </si>
  <si>
    <t>70%-80%</t>
  </si>
  <si>
    <t>中国汽车工业协会（历史年度及月度数据），比亚迪（未来数据预测）</t>
  </si>
  <si>
    <t>国际行业数据</t>
  </si>
  <si>
    <t>900-1000</t>
  </si>
  <si>
    <t>BNEF（历史数据），CEF（未来预测）</t>
  </si>
  <si>
    <t>750-850</t>
  </si>
  <si>
    <t>CPIA、IEA PVPS（历史数据），TrendForce（未来预测）</t>
  </si>
  <si>
    <t>Evtank（历史数据），Trendforce（未来预测）</t>
  </si>
  <si>
    <t>Evtank（历史数据）</t>
  </si>
  <si>
    <t>SNE research</t>
  </si>
  <si>
    <t>乘联数据（历史数据），EV volumes（未来预测）</t>
  </si>
  <si>
    <t>Evtank（历史数据），中信期货（未来预测）</t>
  </si>
  <si>
    <t>汽车销售</t>
  </si>
  <si>
    <t>ABI research</t>
  </si>
  <si>
    <t>IEA</t>
  </si>
  <si>
    <t>公司名称</t>
  </si>
  <si>
    <t>产品类别</t>
  </si>
  <si>
    <t>主要产品情况</t>
  </si>
  <si>
    <t>激光切割机
功率参数范围</t>
  </si>
  <si>
    <t>市占率（%）
2024</t>
  </si>
  <si>
    <t>分产品营收占比</t>
  </si>
  <si>
    <t>分地区营收占比</t>
  </si>
  <si>
    <t>净利润（亿元）</t>
  </si>
  <si>
    <t>毛利率（%）</t>
  </si>
  <si>
    <t>P/E</t>
  </si>
  <si>
    <t>P/S</t>
  </si>
  <si>
    <t>002008.SZ</t>
  </si>
  <si>
    <t>大族激光</t>
  </si>
  <si>
    <t>激光切割机、折弯机</t>
  </si>
  <si>
    <t>官网未披露</t>
  </si>
  <si>
    <t>2024年：147.71亿元
2023年：140.91亿元
2022年：149.61亿元</t>
  </si>
  <si>
    <t>2024年
PCB设备：33.43亿元，占比22.63%
其他智能制造装备：114.28亿元，占比77.37%
2023年
PCB设备：16.34亿元，占比11.60%
其他智能制造装备：124.57亿元，占比88.40%
2022年
PCB设备：27.86亿元，占比18.62%
其他智能制造装备：121.75亿元，占比81.38%</t>
  </si>
  <si>
    <t>2024年
境内：126.65亿元，占比85.74%
境外：21.06亿元，占比14.26%
2023年
境内：129.73亿元，占比92.06%
境外：11.18亿元，占比7.94%
2022年
境内：139.70亿元，占比93.37%
境外：9.91亿元，占比6.63%</t>
  </si>
  <si>
    <t>2024年：17.52亿元
2023年：9.11亿元
2022年：12.82亿元</t>
  </si>
  <si>
    <t>2024年：31.84%
2023年：34.94%
2022年：35.22%</t>
  </si>
  <si>
    <t>2024年：15.53
2023年：26.58
2022年：22.31</t>
  </si>
  <si>
    <t>2024年：1.78
2023年：1.58
2022年：1.80</t>
  </si>
  <si>
    <t>000988.SZ</t>
  </si>
  <si>
    <t>华工科技</t>
  </si>
  <si>
    <t>激光切割机</t>
  </si>
  <si>
    <t>2024年：117.09亿元
2023年：102.08亿元
2022年：120.11亿元</t>
  </si>
  <si>
    <t>2024年
光电器件系列产品：营收39.75亿元，占比33.95%
激光加工系列成套设备：营收34.92亿元，占比29.82%
敏感元器件：营收36.68亿元，占比31.33%
激光全息膜类系列产品：营收4.27亿元，占比3.65%
租赁及其他：营收1.47亿元，占比1.26%
2023年
光电器件系列产品：营收31.10亿元，占比30.47%
激光加工系列成套设备：营收31.90亿元，占比31.25%
敏感元器件：营收32.48亿元，占比31.82%
激光全息膜类系列产品：营收5.01亿元，占比4.91%
租赁及其他：营收1.58亿元，占比1.55%
2022年
光电器件系列产品：营收57.10亿元，占比47.54%
激光加工系列成套设备：营收32.89亿元，占比27.38%
敏感元器件：营收23.20亿元，占比19.31%
激光全息膜类系列产品：营收5.73亿元，占比4.77%
租赁及其他：营收1.19亿元，占比0.99%%</t>
  </si>
  <si>
    <t>2024年
境内：103.28亿元，占比88.21%
境外：13.81亿元，占比11.79%
2023年
境内：91.08亿元，占比89.22%
境外：11.00亿元，占比10.78%
2022年
境内：109.15亿元，占比90.86%
境外：10.96亿元，占比9.14%</t>
  </si>
  <si>
    <t>2024年：12.03亿元
2023年：9.99亿元
2022年：8.91亿元</t>
  </si>
  <si>
    <t>2024年：21.55%
2023年：23.11%
2022年：19.16%</t>
  </si>
  <si>
    <t>2024年：35.67
2023年：29.72
2022年：18.21</t>
  </si>
  <si>
    <t>2024年：3.72
2023年：2.89
2022年：1.42</t>
  </si>
  <si>
    <t>A06969.BJ</t>
  </si>
  <si>
    <t>500W到80KW</t>
  </si>
  <si>
    <t>2024年：12.96亿元
2023年：13.3亿元
2022年：9.9亿元</t>
  </si>
  <si>
    <t>2024年
激光加工设备：营收10.47亿元，占比约40.33%
智能制造生产线：营收1.33亿元，占比约5.13%
其他业务收入：营收0.80亿元，占比约3.08%
激光熔覆服务：营收0.36亿元，占比约1.39%
2023年
激光加工设备：营收11.74亿元，占比约44.07%
智能制造生产线：营收0.80亿元，占比约3.01%
其他业务收入：营收0.43亿元，占比约1.62%
激光熔覆服务：营收0.33亿元，占比约1.24%
2022年
激光加工设备：营收9.11亿元，占比约46.01%
智能制造生产线：营收0.34亿元，占比约1.72%
其他业务收入：营收0.28亿元，占比约1.41%
激光熔覆服务：营收0.17亿元，占比约0.86%</t>
  </si>
  <si>
    <t>2024年
境内：4.63亿元，占比35.73%
境外：8.33亿元，占比64.27%
2023年
境内：4.81亿元，占比36.13%
境外：8.49亿元，占比63.87%
2022年
境内：2.69亿元，占比27.16%
境外：7.21亿元，占比72.84%</t>
  </si>
  <si>
    <t>2024年：1.03亿元
2023年：1.11亿元
2022年：1.02亿元</t>
  </si>
  <si>
    <t>2024年：31.55%
2023年：30.29%
2022年：33.64%</t>
  </si>
  <si>
    <t>N/A</t>
  </si>
  <si>
    <t>奔腾激光</t>
  </si>
  <si>
    <t>6KW-80KW</t>
  </si>
  <si>
    <t>2024年：6.08亿元
2023年：6.91亿元
2022年：7.95亿元</t>
  </si>
  <si>
    <t>2024年
境外：约2亿元，占比33%
境内：约4亿元，占比67%</t>
  </si>
  <si>
    <t>2024年：-0.23亿元
2023年：-0.31亿元
2022年：0.06亿元</t>
  </si>
  <si>
    <t>稳定在35%左右</t>
  </si>
  <si>
    <t>002559.SZ</t>
  </si>
  <si>
    <t>亚威机床</t>
  </si>
  <si>
    <t>2024年：20.57亿元
2023年：19.28亿元
2022年：18.30亿元</t>
  </si>
  <si>
    <t>2024年
金属成形机床营收14.49亿元，占70.5%
激光加工装备5.76亿元；占28.0%
智能制造解决方案0.32亿元，占1.5%；  
2023年
金属成形机床营收13.25亿元，占68.7%
激光加工装备5.33亿元；占27.6%
智能制造解决方案0.70亿元，占3.7%；  
2022年
金属成形机床营收11.85亿元，占64.8%
激光加工装备5.62亿元；占30.7%
智能制造解决方案0.83亿元，占4.5%。</t>
  </si>
  <si>
    <t>2024年  
境内：16.57亿元，占比80.6%  
境外：4.00亿元，占比19.4%  
2023年  
境内：14.93亿元，占比77.4%  
境外：4.35亿元，占比22.6%  
2022年  
境内：14.35亿元，占比78.4%  
境外：3.95亿元，占比21.6%</t>
  </si>
  <si>
    <t>2024年：0.48亿元
2023年：0.82亿元
2022年：-1.70亿元</t>
  </si>
  <si>
    <t>2024年：22.75%
2023年：26.03%
2022年：24.60%</t>
  </si>
  <si>
    <t>2024年：2.4
2023年：3.5
2022年：2.0</t>
  </si>
  <si>
    <t>TOPCon&amp;PERC电池</t>
  </si>
  <si>
    <t>生产流程</t>
  </si>
  <si>
    <t>生产设备</t>
  </si>
  <si>
    <t>龙头市占率</t>
  </si>
  <si>
    <t>竞争对手布局情况</t>
  </si>
  <si>
    <t>PERC生产流程</t>
  </si>
  <si>
    <t>TOPCon生产流程</t>
  </si>
  <si>
    <t>海目星</t>
  </si>
  <si>
    <t>（可整线交付）</t>
  </si>
  <si>
    <t>清洗制绒设备</t>
  </si>
  <si>
    <t>捷佳伟创70%+</t>
  </si>
  <si>
    <t>√</t>
  </si>
  <si>
    <t>扩散炉+激光SE设备</t>
  </si>
  <si>
    <t>捷佳伟创50%+</t>
  </si>
  <si>
    <t>√（SE）</t>
  </si>
  <si>
    <t>√（扩散）</t>
  </si>
  <si>
    <t>√（SE+扩散）</t>
  </si>
  <si>
    <t>√（扩散+SE）</t>
  </si>
  <si>
    <t>化学刻蚀机</t>
  </si>
  <si>
    <t>LPCVD/PECVD</t>
  </si>
  <si>
    <t>拉普拉斯80%+</t>
  </si>
  <si>
    <t>√（PE）</t>
  </si>
  <si>
    <t>√（LP+PE)</t>
  </si>
  <si>
    <t>√（LP+PE）</t>
  </si>
  <si>
    <t>粒子注入机</t>
  </si>
  <si>
    <t>退火炉</t>
  </si>
  <si>
    <t>湿法刻蚀设备</t>
  </si>
  <si>
    <t>PECVD/ALD</t>
  </si>
  <si>
    <t>激光开槽设备</t>
  </si>
  <si>
    <t>丝网印刷/激光转印设备</t>
  </si>
  <si>
    <t>迈为股份70%</t>
  </si>
  <si>
    <t>√（印刷）</t>
  </si>
  <si>
    <t>√（转印）</t>
  </si>
  <si>
    <t>烧结炉/激光辅助烧结（LAS）</t>
  </si>
  <si>
    <t>√（LAS）</t>
  </si>
  <si>
    <t>√（炉）</t>
  </si>
  <si>
    <t>测试/分选设备</t>
  </si>
  <si>
    <t>TBC电池</t>
  </si>
  <si>
    <t>扩散炉</t>
  </si>
  <si>
    <t>激光刻蚀设备</t>
  </si>
  <si>
    <t>化学刻蚀机/激光</t>
  </si>
  <si>
    <t>激光开膜设备</t>
  </si>
  <si>
    <t>清洗设备</t>
  </si>
  <si>
    <t>HJT电池</t>
  </si>
  <si>
    <t>PECVD设备</t>
  </si>
  <si>
    <t>迈为股份70%+</t>
  </si>
  <si>
    <t>PVD设备</t>
  </si>
  <si>
    <t>丝网印刷设备</t>
  </si>
  <si>
    <t>光伏设备激光产品</t>
  </si>
  <si>
    <t>公司</t>
  </si>
  <si>
    <t>PERC</t>
  </si>
  <si>
    <t>TOPCon</t>
  </si>
  <si>
    <t>HJT</t>
  </si>
  <si>
    <t>XBC</t>
  </si>
  <si>
    <t>钙钛矿</t>
  </si>
  <si>
    <t>激光SE、激光开槽</t>
  </si>
  <si>
    <t>激光SE、激光辅助烧结(LAS)</t>
  </si>
  <si>
    <t>激光开模、激光刻蚀、激光开槽</t>
  </si>
  <si>
    <t>激光 SE、激光转印、激光开槽</t>
  </si>
  <si>
    <t>激光SE、激光转印、激光开槽</t>
  </si>
  <si>
    <t>激光诱导退火（LIA）、激光转印</t>
  </si>
  <si>
    <t>激光刻蚀、激光转印、激光开槽</t>
  </si>
  <si>
    <t>薄膜激光刻划系列</t>
  </si>
  <si>
    <t>激光 SE</t>
  </si>
  <si>
    <t>激光SE</t>
  </si>
  <si>
    <t>激光 SE、激光开槽</t>
  </si>
  <si>
    <t>激光开槽</t>
  </si>
  <si>
    <t>激光SE、激光开模</t>
  </si>
  <si>
    <t>激光开模</t>
  </si>
  <si>
    <t>德龙激光</t>
  </si>
  <si>
    <t>激光综合加工系统</t>
  </si>
  <si>
    <t>杰普特</t>
  </si>
  <si>
    <t>激光划线</t>
  </si>
  <si>
    <t>说明：数据主要来自于激光订阅网，主要根据近一个月重点的激光行业新闻进行统计</t>
  </si>
  <si>
    <t>华工科技北方总部基地投产首台激光除草农机产业化启动</t>
  </si>
  <si>
    <t>12月23日，华工科技智能制造北方总部基地落户哈尔滨新区，首条激光除草智能农机装备生产线同步投产。这标志着“激光+AI+机器人”科技扎根黑土地，为黑龙江现代农业发展和国家粮食安全注入科技动能</t>
  </si>
  <si>
    <t>估值32亿，鑫精合激光开启上市辅导</t>
  </si>
  <si>
    <t>12月22日，鑫精合激光科技集团股份有限公司正式启动上市辅导，由国泰海通证券担任辅导机构。鑫精合激光成立于2015年11月，是一家专业从事金属制造的企业。鑫精合激光从机械加工与钣金焊接领域起步，深耕金属3D打印服务</t>
  </si>
  <si>
    <t>拟募资11.56亿，托伦斯精密制造（江苏）股份有限公司冲刺创业板</t>
  </si>
  <si>
    <t>近日，托伦斯精密制造（江苏）股份有限公司递交创业板上市招股书，已获深交所受理，公司拟募资约11.56亿元。托伦斯是一家精密金属零部件的研发、生产和销售的综合服务商，致力于为半导体设备提供高性能的关键工艺零部件、工艺零部件、结构零部件、气体管路及系统组装产品等。同时，公司工艺能力覆盖激光设备领域，可提供高功率激光器所需的激光器腔体和冷却工艺零部件产品</t>
  </si>
  <si>
    <t>中科院双团队联手攻克193nm深紫外激光难题</t>
  </si>
  <si>
    <t>近期，中科院半导体所赵德刚团队和中科院新疆理化所潘世烈团队合作，在GaN基近紫外激光器和氟化硼酸盐深紫外非线性光学晶体方面取得进展基础上，用大功率386nm GaN基近紫外激光器作基频光源，经ABF晶体直接倍频，获193nm深紫外激光输出</t>
  </si>
  <si>
    <t>邦德激光DreamSpace 超级工厂2025年度第10000台设备正式下线</t>
  </si>
  <si>
    <t>近日，邦德激光DreamSpace超级工厂迎来2025年度第10000台设备下线。本次下线的M系列旗舰管材激光切割机已完成所有生产与检测工序，整装待发。从首台到万台，这一产能跨越是邦德激光在规模化智能制造与标准化品质管控方面取得体系化成果的集中体现，标志着中国高端激光装备制造能力已赢得全球市场信赖</t>
  </si>
  <si>
    <t>度亘核芯将在绵阳市游仙区投建高端半导体激光器研发制造项目</t>
  </si>
  <si>
    <t>12月10日，中国（绵阳）科技城度亘核芯高端半导体激光器研发与制造项目签约活动举行。省委常委、市委书记左永祥，市委常委、科技城管委会主任郑志恒出席并见证签约</t>
  </si>
  <si>
    <t>频准激光科创板IPO获受理</t>
  </si>
  <si>
    <t>据了解，频准激光成立于2017年，是国家高新技术企业和上海市专精特新企业。公司专注于高端精准激光器研发与生产的企业，主要瞄准量子计算、量子精密测量等量子科技领域，晶圆制造、晶圆量检测、晶圆隐切等半导体领域，以及激光干涉曝光、激光遥感等前沿科研领域</t>
  </si>
  <si>
    <t>长飞光坊新一代12000W单模组激光器破除高质量快切瓶颈</t>
  </si>
  <si>
    <t>长飞光坊推出新一代12000W单模组连续激光器，依托全产业链自研技术优化，以“稳态光学架构”为底座，提升功率稳定性与输出光束质</t>
  </si>
  <si>
    <t>我国太空金属增材制造技术取得重大突破——首次在太空微重力下制造出完整金属构件</t>
  </si>
  <si>
    <t>力学研究所研制的微重力激光增材制造返回式科学实验载荷，搭载中科宇航“力鸿一号”遥一飞行器进入亚轨道，首实现太空激光熔丝金属增材制造。实验系统突破金属增材制造成形与控制等关键技术；实验后，载荷舱平稳着陆并回收，获金属构件、数据和性能参数等。</t>
  </si>
  <si>
    <t>大族激光智能装备集团与阪和兴业株式会社达成战略合作，高端激光装备赋能日本制造</t>
  </si>
  <si>
    <t>2026年1月21日，大族激光智能装备集团与日本阪和兴业株式会社签署战略合作协议，基于优势互补原则，推动大族激光高端装备在日本市场应用与拓展</t>
  </si>
  <si>
    <t>长飞光纤成立激光子公司</t>
  </si>
  <si>
    <t>2025年12月30日，长飞激光（武汉）智能装备有限责任公司成立，法定代表人郑昕，注册资本100万元，经营范围含电子元器件与机电组件设备制造等。长飞激光由长飞光纤全资持股。2024年长飞集团子公司长飞光坊业务规模提升，延伸产业链，拓展激光装备业务。长飞集团发挥产业链垂直整合能力，收购奔腾激光延展光纤产业链，预计业务规模增长，产品线将覆盖高功率先进激光成套设备，实现多领域广泛应用</t>
  </si>
  <si>
    <t>华兴激光完成股权融资</t>
  </si>
  <si>
    <t>华泰紫金完成对化合物半导体光电子外延片头部企业江苏华兴激光科技有限公司的股权投资。本轮融资超亿元，将赋能华兴激光在光电子外延材料领域发展，加快光电子关键上游材料国产化进程</t>
  </si>
  <si>
    <t>泰尔智能激光切割技术助力宝钢智造再突破</t>
  </si>
  <si>
    <t>泰尔智慧激光60kW超高功率激光切割技术应用于冶金行业首条全自动化激光切割产线，该产线基于全栈自研一体化控制系统，实现“视觉扫描-程序生成-运动控制”闭环运行。系统通过高精度视觉点云建模与实时工艺参数优化算法，推动切割单机向可协同、可溯源的数字制造节点演进</t>
  </si>
  <si>
    <t>晟光硅研：水导激光技术赋能高端制造产业升级</t>
  </si>
  <si>
    <t>近日，西安晟光硅研半导体科技有限公司在水导激光技术产业化获关键进展。公司总经理杨森接受《经济参考报》专访时称，晟光硅研作为中国水导激光技术先行者，结合客户产业化技术需求，开展水导激光技术设备国产化自主研发。</t>
  </si>
  <si>
    <t>宏山激光自动化单元标准化交付，完成关键闭环验证</t>
  </si>
  <si>
    <t>1月8日，“加速点亮·全球智造产线”——宏山激光G3015H+Store Pro自动化单元完成标准化交付，宏山激光管理层、技术团队与合作伙伴见证该单元完成标准化集成并下线，其已完成系统配置与整体联调，验证了宏山激光在相关流程上的一致性与可复制性。</t>
  </si>
  <si>
    <t>华日激光启动IPO</t>
  </si>
  <si>
    <t>1 月 13 日，武汉华日精密激光股份有限公司董事会公告，公司于 2026 年 1 月 9 日与中信证券签订《武汉华日精密激光股份有限公司与中信证券股份有限公司关于向不特定合格投资者公开发行股票并在北京证券交易所上市之辅导协议》，同日向中国证监会湖北监管局提交了上市辅导备案申请材料，辅导机构为中信证券。</t>
  </si>
  <si>
    <t>英谷激光挂牌新三板</t>
  </si>
  <si>
    <t>1月15日，英谷激光技术股份有限公司（证券简称：英谷激光，证券代码：874959）发布公告，公司股票将于2026年1月16日起在全国股转系统挂牌公开转让，标志着这家专注于高性能固体激光器的国家级专精特新“小巨人”企业，正式对接资本市场。</t>
  </si>
  <si>
    <t>华中科技大学|一种用于高质量焊接过程中可调焦高斯环模激光器的新型光束整形方法</t>
  </si>
  <si>
    <t>JWMT宣布，其位于京畿道安山市的第一家工厂建成月产能3000片的玻璃基板TGV生产线。新厂投产后，以510mm×515mm为基准的总产能扩至每月5000张。公司负责人称，已获10多个国内外客户，正与其中一家洽谈每月供应1000件产品。</t>
  </si>
  <si>
    <t>国内高功率绿光激光技术领域取得重大突破</t>
  </si>
  <si>
    <t>近日，中国科学院上海光学精密机械研究所在高功率绿光激光技术领域取得重大突破。研究团队基于自主研制的窄线宽线偏振光纤激光器，结合创新的非线性光学倍频技术，成功实现了1823W的单模连续波绿光激光输出，转换效率高达65.1%，并保持了优异的光束质量</t>
  </si>
  <si>
    <t>哈尔滨工业大学 I 激光定向能量沉积中能量和质量利用的正演计算模型</t>
  </si>
  <si>
    <t>粉末式激光定向能量沉积（L-DED）工艺设计与优化，需精确控制能量与质量利用率。但全面理解能量与质量变化有挑战，因其与输入参数存在复杂非线性关系。在粉末式 L-DED 中，激光入射角与材料属性影响下，能量吸收率与粉末捕获效率相关。本研究建立正向计算模型，无需回归拟合实验数据。围绕基体能量吸收、粉末捕获和沉积形状变化效应，分析激光—粉末—基体相互作用；在沉积道几何变化中引入入射角二次修正，考虑熔池边界偏移</t>
  </si>
  <si>
    <t>大连交大&amp;南加州大学：激光增材制造高通量开发新型超高温多主元合金</t>
  </si>
  <si>
    <t>近日，大连交通大学的吕云卓教授团队联合南加州大学的陈文教授团队、纽约州立大学陈伟教授团队，在超高温结构材料研发领域取得了重要进展。所开发的合金在室温下展现出约1.8 GPa的超高屈服强度和9%的压缩塑性，同时在1400℃高温下仍能保持约1.4 GPa的屈服强度，并具备显著的应变硬化能力，性能远超目前已报道的其他高温合金，为航空航天、核能等领域关键部件材料升级提供新方案，同时为超高温合金的高效研发开辟了全新的途径</t>
  </si>
  <si>
    <t>A 股软件巨头跨界并购深圳激光雷达芯片企业</t>
  </si>
  <si>
    <t>2026年2月4日，上交所科创板上市公司智洋创新（688191）正式发布停牌公告，宣布正筹划收购深圳市灵明光子科技有限公司（下称“灵明光子”）控制权，此次交易预计构成重大资产重组及关联交易，不过不会导致公司控制权发生变更。</t>
  </si>
  <si>
    <t>东风商用车全球最大智慧工厂投产 集成激光焊接与AI检测</t>
  </si>
  <si>
    <t>全球首条商用车顶盖激光焊接线：在装焊车间，227台工业机器人协同作业，采用激光钎焊技术，仅用85秒即可完成一个商用车顶盖总成的无缝焊接。相比传统工艺，效率提升约2.5倍，并提升了车身刚性、降低了重量与成本。工厂焊点自动化率达100%。</t>
  </si>
  <si>
    <t>激光微焊解锁精密难题，赋能智能眼镜智造升级</t>
  </si>
  <si>
    <t>随着智能眼镜行业向轻薄化、集成化的快速演进，对精密制造的要求日趋严苛。传统工艺在处理如深腔、窄缝等复杂内部结构时面临挑战，而高度集成、高能效、长寿命的激光焊接方案，能精准适配复杂精密结构的焊接需求，已成为该行业制造升级的关键支撑。它有力推动设备生产向高精度、自动化与低成本转型，为产品的技术创新与规模化量产奠定了坚实的工艺基础，持续赋能产业高质量发展。</t>
  </si>
  <si>
    <t>我国成功研制真空紫外超窄线宽激光 攻克核光钟核心瓶颈</t>
  </si>
  <si>
    <t>据广东省科学技术厅消息，清华大学丁世谦团队在连续波真空紫外光源领域取得重大突破，成功研制出148纳米连续波超窄线宽激光光源，首次将超稳激光技术拓展至真空紫外波段。该成果攻克了核光钟研制的“最后一个核心瓶颈”，补齐了关键技术短板，为精密测量领域开辟了新路径，彰显了我国在量子科技与基础研究领域的领先实力。相关成果于2月12日发表于国际期刊《自然》。</t>
  </si>
  <si>
    <t>大族激光拟在东南亚设立海外运营中心</t>
  </si>
  <si>
    <t>大族激光(002008)2月24日晚间公告，为拓展海外业务，提升服务能力，公司计划在海外投资设立运营中心，投资金额为1.5亿美元，拟选址东南亚。该投资不构成关联交易，亦不构成重大资产重组。</t>
  </si>
  <si>
    <t>Nd:YAG激光治疗机获批上市</t>
  </si>
  <si>
    <t>近日，国家药品监督管理局批准了吉林省科英医疗激光有限责任公司的Nd:YAG激光治疗机注册申请。该产品由主机、光纤、脚踏开关及激光防护眼镜组成，在泌尿和胆道系统内窥镜下用于结石粉碎。该产品将双频双脉冲激光技术用于人体结石的治疗，采用较小的能量实现高峰值功率，预期可提高治疗安全性，减少对胆道系统与泌尿系统软组织管壁的损伤。</t>
  </si>
  <si>
    <t>中辉激光发布两款碟片激光器平台</t>
  </si>
  <si>
    <t>苏州中辉激光科技有限公司在2026慕尼黑上海光博会上正式发布300W纳秒紫外激光器平台和3000W连续绿光激光器平台两款战略级新品。作为中国唯一、全球唯二掌握碟片激光核心技术并实现工业化量产的企业，此次发布标志着国产碟片激光在多波长、高功率、工业级应用领域再上新台阶。3000W连续绿光激光器精准解决AI算力基础设施、新能源锂电领域铜铝等高反射材料焊接难题；300W纳秒紫外激光器则直指可控核聚变、高端显示两大国家战略性领域，打破海外长期独家技术垄断。</t>
  </si>
  <si>
    <t>凯普林发布6款超快激光器新品</t>
  </si>
  <si>
    <t xml:space="preserve"> 2026年3月25日，在2026上海光博会上，凯普林重磅发布6款覆盖小/中/高功率皮秒、光纤与固体飞秒的超快激光器新品，构建了全功率段、多技术路线的完整产品矩阵，一举打破了国际巨头在高端超快激光领域的垄断格局，交付周期大幅缩短至15-30天。</t>
  </si>
  <si>
    <t xml:space="preserve"> 思创激光发布全球首款5000W风冷单模光纤激光器</t>
  </si>
  <si>
    <t>2026年3月18日，思创激光在2026慕尼黑上海光博会上正式推出两款战略级重磅新品：全球首款5000W风冷单模光纤激光器（整机重量≤50kg）与20kW近单模光纤激光器（整机重量≤200kg）。两款产品凭借革命性的轻量化设计、极致的光束质量和100%全自研核心技术，成功攻克高功率风冷散热技术难题，为低空安全应用提供了卓越的性能支撑。</t>
  </si>
  <si>
    <t>华南理工大学与上海光机所合作创制全谱段白光强激光</t>
  </si>
  <si>
    <t>华南理工大学发光材料与器件全国重点实验室李志远教授团队与中国科学院上海光机所李儒新院士团队合作，成功研制出覆盖200-25000nm的7个倍频程、脉冲能量达1mJ的全谱段白光强激光，开创了“单源全谱、同步快照”的激光光谱学新范式。相关成果发表于《Light: Science &amp; Applications》。</t>
  </si>
  <si>
    <t>英谷激光向北交所提交上市辅导备案材料</t>
  </si>
  <si>
    <t>2026年3月23日，苏州英谷激光科技股份有限公司董事会发布公告，公司已于2026年3月23日向中国证监会江苏监管局提交了向不特定合格投资者公开发行股票并在北京证券交易所上市辅导备案申请材料，辅导机构为华泰联合证券。英谷激光专注于高性能固体激光器的研发与销售，产品矩阵覆盖纳秒、皮秒、飞秒等多脉宽类型，是国家级专精特新“小巨人”企业。</t>
  </si>
  <si>
    <t>长进光子科创板IPO过会</t>
  </si>
  <si>
    <t>3月27日，上交所官网信息显示，武汉长进光子技术股份有限公司科创板IPO申请通过上交所上市委审议，拟募资7.8亿元。长进光子是国内领先的特种光纤厂商，主营产品为掺稀土光纤，应用于先进制造、光通信、测量传感、商业航天等领域。作为湖北2026年首家科创板过会企业，其7.8亿元的募资计划直指高性能光纤的产能扩张与技术攻坚。</t>
  </si>
  <si>
    <t>帝尔激光宣布拟发行H股赴港上市</t>
  </si>
  <si>
    <t>帝尔激光发布公告称，公司拟公开发行境外上市股份（H股）股票并申请在香港联交所主板挂牌上市，以深入推进国际化战略布局，打造多元化资本运作平台，提升国际品牌形象及全球市场综合竞争力。公司已通过第四届董事会第八次会议审议通过相关议案。</t>
  </si>
  <si>
    <t>托伦斯精密创业板IPO获受理</t>
  </si>
  <si>
    <t>托伦斯精密制造（江苏）股份有限公司拟在深交所创业板上市，募资总金额为11.56亿元，保荐机构为中金公司。公司是国内领先的精密金属零部件综合服务商，致力于为半导体设备提供高性能关键工艺零部件，工艺能力同时覆盖激光设备领域，可提供高功率激光器所需的激光器腔体和冷却工艺零部件产品。</t>
  </si>
  <si>
    <t>杰普特拟投资10亿元建设激光光电智能制造基地</t>
  </si>
  <si>
    <t>2026年3月27日 杰普特发布公告，为紧抓“光+AI”融合创新的产业发展机遇，公司拟通过全资子公司惠州杰普特在惠州市仲恺高新区开展“杰普特激光光电智能制造基地”项目，并与惠州仲恺高新技术产业开发区管委会签订项目投资建设协议书，主要进行激光器、激光/光学智能装备及光连接器件的研发、生产与销售。项目计划总投资额为10亿元。</t>
  </si>
  <si>
    <t>大族激光投资5亿元建设西南总部</t>
  </si>
  <si>
    <t>重庆市大渡口区2026年招商引资“开门红”集中签约仪式举行，签约项目58个，总投资额219亿元。其中，大族激光投资5亿元设立大族激光大渡口区分公司，打造西南总部项目，将战略目光投向成渝地区双城经济圈。</t>
  </si>
  <si>
    <t>逸飞激光韩国公司开业</t>
  </si>
  <si>
    <t>2026年3月16日，逸飞激光韩国公司——逸飞科技（韩国）有限公司开业典礼在韩国华城市圆满举行。公司将组建中韩技术团队，加大软硬件投入，依托集团总部在电池智能装备领域的核心技术优势，为韩国及全球客户提供定制化、高质量的智能制造解决方案。</t>
  </si>
  <si>
    <t>盛雄激光韩国子公司开业</t>
  </si>
  <si>
    <t>盛雄激光在位于韩国水原市的子公司开业，选址三星电子最大生产基地和研发中心所在地，背靠半导体、显示等万亿级产业市场。盛雄激光表示，未来将以韩国子公司为支点，架起连接中韩激光产业的技术桥梁，通过“技术+服务”双引擎驱动，重新定义亚太市场的大功率皮秒飞秒激光器。</t>
  </si>
  <si>
    <t>说明：主要根据各竞争对手每月重点公告（ifind）、相关新闻（公众号）内容进行汇总统计，如对外投资、重大经营公告、股东会决议公告、产品重大进展、业务最新布局等</t>
  </si>
  <si>
    <t>竞争对手名称</t>
  </si>
  <si>
    <t>1.子公司大族富创得此前提交的创业板上市辅导备案材料，公司提交终止创业板上市辅导备案的申请材料
2.子公司大族聚维增资扩股并引入员工持股平台族思聚优、大族聚维董事长赵光辉为新股东，同时，公司亦将对大族聚维增资</t>
  </si>
  <si>
    <t>1.控股子公司大族数控正在进行申请发行H股并在香港联交所主板挂牌上市  
2.公司独立董事王广天辞职
3.大族激光连续中标京东方项目（二期越南项目，招标设备为14台FPL镭切机设备；成都京东方显示技术有限公司第8.6代AMOLED生产线项目，激光切割机四套；大族半导体中标成都京东方显示技术有限公司第8.6代AMOLED生产线项目，激光切割机1套）
4.博世集团高层代表团到访大族激光智能装备集团。双方基于长期稳固的战略合作伙伴关系，围绕高端装备制造产业发展及多领域协同创新展开深度互动</t>
  </si>
  <si>
    <t>1.控股子公司大族数控在香港联交所主板挂牌上市,股票代码“03200”
2.公司拟投资1.5亿美元在东南亚设立海外运营中心
3.采取集中竞价交易方式，在任意连续90个自然日内，减持股份的总数不超过公司股份总数的0.9672%
4.大族激光荣膺“广东品牌全球竞争力TOP500”
5.2月26日，大族激光股价大涨。截至收盘，大族激光上涨9.92%，收盘价为69.67元，收盘价创历史新高</t>
  </si>
  <si>
    <t xml:space="preserve">1.03月02日，大族激光股价继续上涨。截至今日收盘，大族激光上涨3.21%，收盘价为74.62元，盘中股价最高触及75.88元，股价创历史新高。
2.大族激光成立智能科技公司，含半导体相关业务。
3.3月6日，大族激光投资5亿元设立大族激光大渡口区分公司，建设西南总部项目。
4.大族激光智能装备集团首台550mm超大管径切管机落户华北，重载坡口切割新标杆
</t>
  </si>
  <si>
    <t>1.华工科技北方总部基地投产 首台激光除草农机产业化启动
2.华工科技核心子公司华工高理高压APTC加热器再突破，正式定点日本知名整车厂全球平台。这标志着公司在国际化征程上树立了又一重要里程碑</t>
  </si>
  <si>
    <t>1.联接业务海外市场方面，2025年以来出口业务增长明显，海外设备商与渠道商已有批量的400G/800G光模块出货，800G LPO光模块已经在海外工厂开始交付，2026年将继续上量，同时产品型号也在增加
2.公司具备硅光芯片到模块的全自研设计能力，已成功推出用于1.6T光模块的单波200G自研硅光芯片和多种1.6T光模块产品（DSP和LPO）方案；具备硅光完整材料PDK能力，自研硅光芯片，海外Fab锁定产能、提量，同时增加海外第二备份Fab产能，国内Fab也正在加快验证中。目前，华工科技已具备1.6T光模块的批量生产能力，并已有小批量订单出货
3.公司正在积极布局具身智能业务，聚焦力矩、触觉等传感器产品</t>
  </si>
  <si>
    <t>1.国内首款光电融合协同控制芯片在光谷研制成功，华工科技高速光模块批量下线
2.华工科技涨停，公司联接业务订单已经排到2026年第四季度，AI高速光模块产线24小时满负荷运转</t>
  </si>
  <si>
    <t>1.发布3.2T NPO及星载通信光模块，布局AI与航天场景
2.推出智能焊接系统，推动智能制造升级
3.华工科技子公司全球首发12.8T XPO光模块，助力AI算力升级
4.800G光模块占订单四成并实现1.6T量产交付，海外光模块产能扩张
5.与国内外核心芯片厂商达成长期稳定合作关系
6.激光设备与5G-A光模块技术突破
7.3月26日发布第九届董事会第二十二次会议决议公告</t>
  </si>
  <si>
    <t>1.子公司新加坡迈为以自有资金认缴出资 1,000 万美元，与新加坡某基金参与认购基金份额，基金管理人为 Sparkedge Capital Management Ltd
2. 迈为股份赢得业内首条钙钛矿/硅异质结叠层电池整线订单，迈为股份该叠层电池整线解决方案立足G12半片大尺寸全面积技术平台，覆盖电池制造全工序，具备高效率、大产能、智能化、自动化与经济性等综合优势
3.迈为股份MLED整线设备正式入驻雷曼光电惠州基地</t>
  </si>
  <si>
    <t>1.迈为股份实现G12H钙钛矿/晶硅异质结叠层电池关键突破，光电转换效率达32.38%
2.公司控股股东周剑及王正根计划减持公司股份不超过540万股，套现约11亿</t>
  </si>
  <si>
    <t>1.信息披露义务人周剑、王正根及其一致行动人苏州迈拓创业投资合伙企业(有限合伙)因被动稀释及股份减持，合计持有公司股份比例由46.02%降至40.00%
2.迈为股份自主研发的半导体晶圆热压键合设备成功交付国内MEMS传感器头部企业
3.公司与专业投资机构上海朝希私募基金管理有限公司、宁波玄理企业管理咨询合伙企业（有限合伙）及其他有限合伙人进行合作，公司拟作为有限合伙人以自有资金认缴出资5,000万元，参与认购温州朝全创业投资合伙企业（有限合伙）的基金份额。</t>
  </si>
  <si>
    <t>1.公司与专业投资机构深圳风投侠基金管理企业（有限合伙）及其他有限合伙人进行合作以自有资金认缴出资4,500万元，参与认购上海天之际创业投资合伙企业（有限合伙）（以下简称“本合伙企业”、“本基金”）的基金份额。
2.迈为股份两大高端装备项目签约落户公司投资。35亿元建设“钙钛矿叠层电池成套装备项目”。控股子公司宸微设备投资15亿元 建设“半导体装备研发制造项目”。</t>
  </si>
  <si>
    <t>1.帝尔激光TGV激光微孔设备出口订单顺利发货</t>
  </si>
  <si>
    <t>1.公司正筹划发行境外上市外资股(H股)并申请在香港联合交易所有限公司主板挂牌。
2.公司TGV激光微孔设备已实现晶圆级和面板级封装激光技术的全面覆盖，并完成面板级玻璃基板通孔设备的出货
3.公司拟停止使用帝尔转债募集资金投资“高效太阳能电池激光印刷技术应用研发项目”
4.公司应用于玻璃基板半导体封装的面板级激光微孔设备出口订单顺利发货，标志着公司在推动TGV玻璃通孔技术产业化方面又迈出关键一步
5.公司拟投资30亿元建设的帝尔激光研发生产基地三期项目也迎来新进展，公司已于近日完成了该项目土地的权属登记手续</t>
  </si>
  <si>
    <t>1.出资额1亿元，成立武汉灏远投资合伙企业(有限合伙），  经营范围包含：以自有资金从事投资活动。该合伙企业由帝尔激光、珠海颢远投资有限公司共同持股
2.目前正在筹划港股上市事宜</t>
  </si>
  <si>
    <t>1.计划于2026年第二季度向头部客户交付全新钙钛矿激光方案，并布局少银化激光技术及PCB超快激光钻孔技术
2. 帝尔激光在新加坡设立研发与生产子公司，在以色列设有研发子公司，海外业务毛利率高于国内
3. 帝尔激光非光伏业务聚焦半导体先进封装、显示面板等领域，2025年相关业务毛利率达65.84%，已完成TGV封装激光技术出货</t>
  </si>
  <si>
    <t>联赢激光</t>
  </si>
  <si>
    <t>1.公司设立匈牙利及香港子公司，其中匈牙利投资金额为200万美元、香港公司投资额为2000万人民币
2.UW正极宽幅激光清洗解决方案重磅发布，护航动力电池智造未来</t>
  </si>
  <si>
    <t>1.公司环形光斑光纤激光器可以满足紫铜、黄铜、铝材等多种有色金属加工，适用于高反材料精密高速焊接等应用需求，可适用于3d打印领域
2.副总经理尹栋辞职</t>
  </si>
  <si>
    <t>1.联赢激光子公司江苏联赢激光获评国家级绿色工厂，拥有新能源动力电池、汽车零部件自动化焊接生产线能力
2.联赢激光公司为两家头部客户提供全固态电池中试线设备并进入试产阶段，但尚未量产</t>
  </si>
  <si>
    <t>1.先导智能上市聆讯获通过 拟于港交所主板上市</t>
  </si>
  <si>
    <t>1.2月24日，先导智能(00470)股东将股票由花旗银行转入高盛(亚洲)证券，转仓市值2.8亿港元，占比5.64%
2.于2月11日登陆港交所，公告显示，每股定价45.8港元，共发行1.08亿股股份，每手100股，所得款项净额约47.96亿港元</t>
  </si>
  <si>
    <t>1.导智能公司固态电池设备已进入量产交付阶段，并获头部客户重复订单
2.先导智能公司与OPPO合作开发芯片级3D打印技术，应用于折叠屏手机铰链量产，解决折痕控制难题
3.先导智能公司可提供燃料电池、钠离子电池及钙钛矿太阳能电池智能制造整线解决方案
4.摩根大通于3月25日增持先导智能67.44万股，持股比例达6.31%
5.Pandanus Associates Inc.减持先导智能35.89万股，减持后持股比例降至5.78%</t>
  </si>
  <si>
    <t>1.公司在中信银行深圳盐田支行的基本账户部分资金新增被冻结3.16亿元，累计被冻结资金已达6.28亿元</t>
  </si>
  <si>
    <t>1.公司2022年员工持股计划出售完毕暨终止</t>
  </si>
  <si>
    <t>1.成功交付首条柔性钙钛矿太阳能电池组件量产级整线设备，涵盖清洗、激光划线、镀膜、封装等核心工艺
2.公司自主研发的全自动移载式填孔电镀设备完成首条全流程测试并成功出货，应用于PCB领域
3.捷佳伟创持股5%以上股东左国军等拟通过询价转让方式合计减持1176.54万股（占总股本3.38%），转让价格初步定为94.12元/股</t>
  </si>
  <si>
    <t>利元亨</t>
  </si>
  <si>
    <t>1.利元亨携手Quintus共同攻克固态电池等静压装备核心技术
2.事业一部副事业长暨原核心技术人员熊雪飞先生主要负责事业一部相关项目交付工作，因其工作职责调整不再参与公司具体研发项目，不再被认定为核心技术人员</t>
  </si>
  <si>
    <t xml:space="preserve">/
</t>
  </si>
  <si>
    <t>1.利元亨凭借在高端智能装备领域的卓越贡献与前瞻布局，荣耀入选“2025粤港澳大湾区战略性新兴产业领航企业”
2.利元亨欧洲布局突破，波兰PACK产线成功出机</t>
  </si>
  <si>
    <t>1.利元亨旗下子公司海葵信息通过国家级高新技术企业认定，获认可其在工业软件与智能制造领域的研发能力。</t>
  </si>
  <si>
    <t>赢合科技</t>
  </si>
  <si>
    <t>1.成功开发首台Super-S折返涂布机，单机长度减少32%，占地面积减少约30%</t>
  </si>
  <si>
    <t xml:space="preserve">1.深圳市赢合科技股份有限公司中标亿纬新能源动力储能电池标准工厂项目生产设备和品质设备，中标金额为31.25亿元。
</t>
  </si>
  <si>
    <t>1.赢合科技正式通过海关AEO高级认证</t>
  </si>
  <si>
    <t>1.赢合科技公司与韩国头部电池企业签署切叠一体机订单，实现国产叠片工艺设备在韩国高端市场首次落地
2.赢合科技股东王维东计划通过大宗交易及集中竞价方式减持不超过1596.6万股（占总股本2.47%），原因为个人资金需求</t>
  </si>
  <si>
    <r>
      <rPr>
        <rFont val="微软雅黑"/>
        <b val="true"/>
        <i val="false"/>
        <strike val="false"/>
        <color rgb="FF000000"/>
        <sz val="12"/>
      </rPr>
      <t>RoboParty</t>
    </r>
    <r>
      <rPr>
        <rFont val="微软雅黑"/>
        <b val="true"/>
        <i val="false"/>
        <strike val="false"/>
        <color rgb="FF000000"/>
        <sz val="12"/>
      </rPr>
      <t>萝博派对</t>
    </r>
  </si>
  <si>
    <r>
      <rPr>
        <rFont val="微软雅黑"/>
        <b val="true"/>
        <i val="false"/>
        <strike val="false"/>
        <color rgb="FF000000"/>
        <sz val="12"/>
      </rPr>
      <t>灵巧智能</t>
    </r>
    <r>
      <rPr>
        <rFont val="Arial"/>
        <b val="true"/>
        <i val="false"/>
        <strike val="false"/>
        <color rgb="FF000000"/>
        <sz val="12"/>
      </rPr>
      <t>DexRobot</t>
    </r>
  </si>
  <si>
    <r>
      <rPr>
        <rFont val="微软雅黑"/>
        <b val="true"/>
        <i val="false"/>
        <strike val="false"/>
        <color rgb="FF000000"/>
        <sz val="12"/>
      </rPr>
      <t>Okawa</t>
    </r>
    <r>
      <rPr>
        <rFont val="微软雅黑"/>
        <b val="true"/>
        <i val="false"/>
        <strike val="false"/>
        <color rgb="FF000000"/>
        <sz val="12"/>
      </rPr>
      <t>大川电机</t>
    </r>
  </si>
  <si>
    <r>
      <rPr>
        <rFont val="微软雅黑"/>
        <b val="true"/>
        <i val="false"/>
        <strike val="false"/>
        <color rgb="FF000000"/>
        <sz val="12"/>
      </rPr>
      <t>魔法原子</t>
    </r>
    <r>
      <rPr>
        <rFont val="Arial"/>
        <b val="true"/>
        <i val="false"/>
        <strike val="false"/>
        <color rgb="FF000000"/>
        <sz val="12"/>
      </rPr>
      <t>MagicLab</t>
    </r>
  </si>
  <si>
    <r>
      <rPr>
        <rFont val="微软雅黑"/>
        <b val="true"/>
        <i val="false"/>
        <strike val="false"/>
        <color rgb="FF000000"/>
        <sz val="12"/>
      </rPr>
      <t>非夕机器人</t>
    </r>
    <r>
      <rPr>
        <rFont val="Arial"/>
        <b val="true"/>
        <i val="false"/>
        <strike val="false"/>
        <color rgb="FF000000"/>
        <sz val="12"/>
      </rPr>
      <t>FLEXIV</t>
    </r>
  </si>
  <si>
    <r>
      <rPr>
        <rFont val="微软雅黑"/>
        <b val="true"/>
        <i val="false"/>
        <strike val="false"/>
        <color rgb="FF000000"/>
        <sz val="12"/>
      </rPr>
      <t>UniX AI</t>
    </r>
    <r>
      <rPr>
        <rFont val="微软雅黑"/>
        <b val="true"/>
        <i val="false"/>
        <strike val="false"/>
        <color rgb="FF000000"/>
        <sz val="12"/>
      </rPr>
      <t>机器人</t>
    </r>
  </si>
  <si>
    <r>
      <t>天工机器人</t>
    </r>
  </si>
  <si>
    <r>
      <t>具深科技</t>
    </r>
  </si>
  <si>
    <r>
      <t>兴远能源</t>
    </r>
  </si>
  <si>
    <r>
      <t>天目先导</t>
    </r>
  </si>
  <si>
    <r>
      <t>华芯天微</t>
    </r>
  </si>
  <si>
    <r>
      <t>普利姆半导体</t>
    </r>
  </si>
  <si>
    <r>
      <t>维拓科技</t>
    </r>
  </si>
  <si>
    <r>
      <t>深圳兴鸿</t>
    </r>
  </si>
  <si>
    <r>
      <t>久功科技</t>
    </r>
  </si>
  <si>
    <r>
      <t>华致能源</t>
    </r>
  </si>
  <si>
    <r>
      <t>迪盛智能</t>
    </r>
  </si>
  <si>
    <r>
      <t>聆动通用</t>
    </r>
  </si>
  <si>
    <r>
      <t>天石科丰</t>
    </r>
  </si>
  <si>
    <r>
      <t>灵动芯光</t>
    </r>
  </si>
  <si>
    <r>
      <t>星城石墨</t>
    </r>
  </si>
  <si>
    <r>
      <t>见真机械</t>
    </r>
  </si>
  <si>
    <r>
      <t>Dexmal原力灵机</t>
    </r>
  </si>
  <si>
    <r>
      <t>钛虎机器人</t>
    </r>
  </si>
  <si>
    <r>
      <t>米塔机器人</t>
    </r>
  </si>
  <si>
    <r>
      <t>晨昏线科技</t>
    </r>
  </si>
  <si>
    <r>
      <t>金羽新能</t>
    </r>
  </si>
  <si>
    <r>
      <t>智拓增材</t>
    </r>
  </si>
  <si>
    <r>
      <t>小象电动</t>
    </r>
  </si>
  <si>
    <r>
      <t>山东景昂</t>
    </r>
  </si>
  <si>
    <r>
      <t>光恒科技</t>
    </r>
  </si>
  <si>
    <r>
      <t>新算技术</t>
    </r>
  </si>
  <si>
    <r>
      <t>艾维泰科</t>
    </r>
  </si>
  <si>
    <r>
      <t>镭视光电</t>
    </r>
  </si>
  <si>
    <r>
      <t>德硕科技</t>
    </r>
  </si>
  <si>
    <r>
      <t>青钠科技</t>
    </r>
  </si>
  <si>
    <r>
      <t>无界动力</t>
    </r>
  </si>
  <si>
    <r>
      <t>显耀显示</t>
    </r>
  </si>
  <si>
    <r>
      <rPr>
        <rFont val="微软雅黑"/>
        <b val="false"/>
        <i val="false"/>
        <strike val="false"/>
        <color rgb="FF000000"/>
        <sz val="10"/>
      </rPr>
      <t>正心谷资本，芯禾资本，金浦投资，中信证券</t>
    </r>
    <r>
      <rPr>
        <rFont val="Arial"/>
        <b val="false"/>
        <i val="false"/>
        <strike val="false"/>
        <color rgb="FF000000"/>
        <sz val="10"/>
      </rPr>
      <t xml:space="preserve">(600030) </t>
    </r>
    <r>
      <rPr>
        <rFont val="微软雅黑"/>
        <b val="false"/>
        <i val="false"/>
        <strike val="false"/>
        <color rgb="FF000000"/>
        <sz val="10"/>
      </rPr>
      <t>，光合创投等</t>
    </r>
  </si>
  <si>
    <r>
      <t>江丰同创晶磁</t>
    </r>
  </si>
  <si>
    <r>
      <t>寒驰科技</t>
    </r>
  </si>
  <si>
    <r>
      <t>世航智能</t>
    </r>
  </si>
  <si>
    <r>
      <t>芯视佳</t>
    </r>
  </si>
  <si>
    <r>
      <t>中科迪宏</t>
    </r>
  </si>
  <si>
    <r>
      <t>龙育机械</t>
    </r>
  </si>
  <si>
    <r>
      <t>思存科技</t>
    </r>
  </si>
  <si>
    <r>
      <t>ACMER LASER</t>
    </r>
  </si>
  <si>
    <r>
      <t>江苏国轩</t>
    </r>
  </si>
  <si>
    <r>
      <t>洛基精微</t>
    </r>
  </si>
  <si>
    <r>
      <t>盛方科技</t>
    </r>
  </si>
  <si>
    <r>
      <t>未来全屏通</t>
    </r>
  </si>
  <si>
    <r>
      <t>星际光年</t>
    </r>
  </si>
  <si>
    <r>
      <t>映己鸿鹄</t>
    </r>
  </si>
  <si>
    <r>
      <t>曦合超导</t>
    </r>
  </si>
  <si>
    <r>
      <t>晶灵电力</t>
    </r>
  </si>
  <si>
    <r>
      <t>灵谛科技</t>
    </r>
  </si>
  <si>
    <r>
      <t>世瞳微电子</t>
    </r>
  </si>
  <si>
    <r>
      <t>具微科技</t>
    </r>
  </si>
  <si>
    <r>
      <t>法睿兰达</t>
    </r>
  </si>
  <si>
    <r>
      <t>博清科技</t>
    </r>
  </si>
  <si>
    <r>
      <t>艾克瑞传感</t>
    </r>
  </si>
  <si>
    <r>
      <t>溢彩芯光</t>
    </r>
  </si>
  <si>
    <r>
      <t>智库智能</t>
    </r>
  </si>
  <si>
    <r>
      <t>KeenCool</t>
    </r>
  </si>
  <si>
    <r>
      <t>广目科技</t>
    </r>
  </si>
  <si>
    <r>
      <t>另山居</t>
    </r>
  </si>
  <si>
    <r>
      <t>泉智博</t>
    </r>
  </si>
  <si>
    <r>
      <t>锂凰科技</t>
    </r>
  </si>
  <si>
    <r>
      <t>美清半导体</t>
    </r>
  </si>
  <si>
    <r>
      <t>辛想科技</t>
    </r>
  </si>
  <si>
    <r>
      <t>影身智能</t>
    </r>
  </si>
  <si>
    <r>
      <t>自变量机器人</t>
    </r>
  </si>
  <si>
    <r>
      <t>第二人生</t>
    </r>
  </si>
  <si>
    <r>
      <t>辉锐光电</t>
    </r>
  </si>
  <si>
    <r>
      <t>微著科技</t>
    </r>
  </si>
  <si>
    <r>
      <t>朗晟新材</t>
    </r>
  </si>
  <si>
    <r>
      <t>科耐激光</t>
    </r>
  </si>
  <si>
    <r>
      <t>节百力</t>
    </r>
  </si>
  <si>
    <r>
      <t>加速进化</t>
    </r>
  </si>
  <si>
    <r>
      <t>博雅工道</t>
    </r>
  </si>
  <si>
    <r>
      <t>天钠科技</t>
    </r>
  </si>
  <si>
    <r>
      <t>简智机器人</t>
    </r>
  </si>
  <si>
    <r>
      <t>敏越科技</t>
    </r>
  </si>
  <si>
    <r>
      <t>它石智航</t>
    </r>
  </si>
  <si>
    <r>
      <t>海天金属</t>
    </r>
  </si>
  <si>
    <r>
      <t>瑆爝机器人</t>
    </r>
  </si>
  <si>
    <r>
      <t>空境未来</t>
    </r>
  </si>
  <si>
    <r>
      <t>铂恩斯特</t>
    </r>
  </si>
  <si>
    <r>
      <t>云汉星驰</t>
    </r>
  </si>
  <si>
    <r>
      <t>源升智能</t>
    </r>
  </si>
  <si>
    <r>
      <t>德塔智能</t>
    </r>
  </si>
  <si>
    <r>
      <t>格源新材料</t>
    </r>
  </si>
  <si>
    <r>
      <t>江门和创</t>
    </r>
  </si>
  <si>
    <r>
      <t>尚水智能</t>
    </r>
  </si>
  <si>
    <r>
      <t>湃力自动化</t>
    </r>
  </si>
  <si>
    <r>
      <t>海伯森</t>
    </r>
  </si>
  <si>
    <r>
      <t>浦元科技</t>
    </r>
  </si>
  <si>
    <r>
      <t>励贝电液</t>
    </r>
  </si>
  <si>
    <r>
      <t>莱库真空</t>
    </r>
  </si>
  <si>
    <r>
      <t>超快激光</t>
    </r>
  </si>
  <si>
    <r>
      <t>中科超能</t>
    </r>
  </si>
  <si>
    <r>
      <t>岚江科技</t>
    </r>
  </si>
  <si>
    <r>
      <t>三石园科技</t>
    </r>
  </si>
  <si>
    <r>
      <t>泰科聚能</t>
    </r>
  </si>
  <si>
    <r>
      <t>蓝点触控</t>
    </r>
  </si>
  <si>
    <r>
      <t>极佳视界</t>
    </r>
  </si>
  <si>
    <r>
      <t>Ludens AI</t>
    </r>
  </si>
  <si>
    <r>
      <t>灵初智能</t>
    </r>
  </si>
  <si>
    <r>
      <t>山海氢</t>
    </r>
  </si>
  <si>
    <r>
      <t>中恒腾芯</t>
    </r>
  </si>
  <si>
    <r>
      <t>星工聚将</t>
    </r>
  </si>
  <si>
    <r>
      <t>中天机器人</t>
    </r>
  </si>
  <si>
    <r>
      <t>鹑火光电</t>
    </r>
  </si>
  <si>
    <r>
      <t>林全科技</t>
    </r>
  </si>
  <si>
    <r>
      <t>矽行半导体</t>
    </r>
  </si>
  <si>
    <r>
      <t>开天眼无人机</t>
    </r>
  </si>
  <si>
    <r>
      <t>深朴智能</t>
    </r>
  </si>
  <si>
    <r>
      <t>璇玑动力</t>
    </r>
  </si>
  <si>
    <r>
      <t>芯核新测</t>
    </r>
  </si>
  <si>
    <r>
      <t>四维时代</t>
    </r>
  </si>
  <si>
    <r>
      <t>通用半导体</t>
    </r>
  </si>
  <si>
    <r>
      <t>极筑科技</t>
    </r>
  </si>
  <si>
    <r>
      <t>三瑞智能</t>
    </r>
  </si>
  <si>
    <r>
      <t>逸璟科技</t>
    </r>
  </si>
  <si>
    <r>
      <t>星河问途</t>
    </r>
  </si>
  <si>
    <r>
      <t>腾亚机器人</t>
    </r>
  </si>
  <si>
    <r>
      <t>什方科技</t>
    </r>
  </si>
  <si>
    <r>
      <t>众擎机器人</t>
    </r>
  </si>
  <si>
    <r>
      <rPr>
        <rFont val="微软雅黑"/>
        <b val="false"/>
        <i val="false"/>
        <strike val="false"/>
        <color rgb="FF000000"/>
        <sz val="10"/>
      </rPr>
      <t>河南投资集团、</t>
    </r>
    <r>
      <rPr>
        <rFont val="微软雅黑"/>
        <b val="false"/>
        <i val="false"/>
        <strike val="false"/>
        <color rgb="FF000000"/>
        <sz val="10"/>
      </rPr>
      <t xml:space="preserve"> 立讯精密</t>
    </r>
    <r>
      <rPr>
        <rFont val="Arial"/>
        <b val="false"/>
        <i val="false"/>
        <strike val="false"/>
        <color rgb="FF000000"/>
        <sz val="10"/>
      </rPr>
      <t xml:space="preserve">(002475) </t>
    </r>
    <r>
      <rPr>
        <rFont val="微软雅黑"/>
        <b val="false"/>
        <i val="false"/>
        <strike val="false"/>
        <color rgb="FF000000"/>
        <sz val="10"/>
      </rPr>
      <t>领投，中创智领</t>
    </r>
    <r>
      <rPr>
        <rFont val="Arial"/>
        <b val="false"/>
        <i val="false"/>
        <strike val="false"/>
        <color rgb="FF000000"/>
        <sz val="10"/>
      </rPr>
      <t xml:space="preserve">(601717) </t>
    </r>
    <r>
      <rPr>
        <rFont val="微软雅黑"/>
        <b val="false"/>
        <i val="false"/>
        <strike val="false"/>
        <color rgb="FF000000"/>
        <sz val="10"/>
      </rPr>
      <t>、基石资本、龙岗金控、金谷资本、财通资本、多伦科技</t>
    </r>
    <r>
      <rPr>
        <rFont val="Arial"/>
        <b val="false"/>
        <i val="false"/>
        <strike val="false"/>
        <color rgb="FF000000"/>
        <sz val="10"/>
      </rPr>
      <t xml:space="preserve">(603528) </t>
    </r>
    <r>
      <rPr>
        <rFont val="微软雅黑"/>
        <b val="false"/>
        <i val="false"/>
        <strike val="false"/>
        <color rgb="FF000000"/>
        <sz val="10"/>
      </rPr>
      <t>、能量守恒、硬核坚果、昌发展集团、全昇创投、</t>
    </r>
    <r>
      <rPr>
        <rFont val="Arial"/>
        <b val="false"/>
        <i val="false"/>
        <strike val="false"/>
        <color rgb="FF000000"/>
        <sz val="10"/>
      </rPr>
      <t>STAR SINO</t>
    </r>
    <r>
      <rPr>
        <rFont val="微软雅黑"/>
        <b val="false"/>
        <i val="false"/>
        <strike val="false"/>
        <color rgb="FF000000"/>
        <sz val="10"/>
      </rPr>
      <t>、黄浦江资本、银泰置地、星航资本、君源创投、财鑫资本、汇勤资本、普超资本等跟投</t>
    </r>
  </si>
  <si>
    <r>
      <t>致德新能源</t>
    </r>
  </si>
  <si>
    <r>
      <t>长光辰芯</t>
    </r>
  </si>
  <si>
    <r>
      <t>清宝机器人</t>
    </r>
  </si>
  <si>
    <r>
      <t>晟坤新能</t>
    </r>
  </si>
  <si>
    <r>
      <t>华骐动力</t>
    </r>
  </si>
  <si>
    <r>
      <t>极壳科技</t>
    </r>
  </si>
  <si>
    <r>
      <t>跃动新能源</t>
    </r>
  </si>
  <si>
    <r>
      <t>开普勒KEPLER</t>
    </r>
  </si>
  <si>
    <r>
      <t>Zerith零次方</t>
    </r>
  </si>
  <si>
    <r>
      <t>硅源新能</t>
    </r>
  </si>
  <si>
    <r>
      <t>甄觉科技</t>
    </r>
  </si>
  <si>
    <r>
      <t>舞肌科技</t>
    </r>
  </si>
  <si>
    <r>
      <t>大科激光</t>
    </r>
  </si>
  <si>
    <r>
      <t>窗前明净</t>
    </r>
  </si>
  <si>
    <r>
      <t>斜跃智能</t>
    </r>
  </si>
  <si>
    <r>
      <t>赛富乐斯</t>
    </r>
  </si>
  <si>
    <r>
      <t>千寻智能</t>
    </r>
  </si>
  <si>
    <r>
      <t>他山科技</t>
    </r>
  </si>
  <si>
    <r>
      <t>万有引力GravityXR</t>
    </r>
  </si>
  <si>
    <r>
      <t>知跃空间智能</t>
    </r>
  </si>
  <si>
    <r>
      <t>怡领科技</t>
    </r>
  </si>
  <si>
    <r>
      <t>若伴科技</t>
    </r>
  </si>
  <si>
    <r>
      <rPr>
        <rFont val="微软雅黑"/>
        <b val="false"/>
        <i val="false"/>
        <strike val="false"/>
        <color rgb="FF000000"/>
        <sz val="10"/>
      </rPr>
      <t>创新工场，英诺基金，啟赋资本，顺为资本，柏睿资本，高锋耐心资本，联想创投</t>
    </r>
    <r>
      <rPr>
        <rFont val="Arial"/>
        <b val="false"/>
        <i val="false"/>
        <strike val="false"/>
        <color rgb="FF000000"/>
        <sz val="10"/>
      </rPr>
      <t xml:space="preserve">(00992) </t>
    </r>
    <r>
      <rPr>
        <rFont val="微软雅黑"/>
        <b val="false"/>
        <i val="false"/>
        <strike val="false"/>
        <color rgb="FF000000"/>
        <sz val="10"/>
      </rPr>
      <t>，创世伙伴</t>
    </r>
  </si>
  <si>
    <r>
      <t>汉克布特</t>
    </r>
  </si>
  <si>
    <r>
      <t>蔚海智芯</t>
    </r>
  </si>
  <si>
    <r>
      <t>奥创光子</t>
    </r>
  </si>
  <si>
    <r>
      <t>叠序宇宙</t>
    </r>
  </si>
  <si>
    <r>
      <t>无锡达希科技</t>
    </r>
  </si>
  <si>
    <r>
      <t>思峻机械</t>
    </r>
  </si>
  <si>
    <r>
      <t>友阳光电</t>
    </r>
  </si>
  <si>
    <r>
      <t>明日星辰</t>
    </r>
  </si>
  <si>
    <r>
      <t>精逸慧达</t>
    </r>
  </si>
  <si>
    <r>
      <t>斯普瑞科技</t>
    </r>
  </si>
  <si>
    <r>
      <t>昆泰磁悬浮</t>
    </r>
  </si>
  <si>
    <r>
      <t>后来者新能</t>
    </r>
  </si>
  <si>
    <r>
      <t>超创电子</t>
    </r>
  </si>
  <si>
    <r>
      <t>阿基视觉</t>
    </r>
  </si>
  <si>
    <r>
      <t>斯坦德机器人</t>
    </r>
  </si>
  <si>
    <r>
      <t>星澜新能源</t>
    </r>
  </si>
  <si>
    <r>
      <t>明程电机</t>
    </r>
  </si>
  <si>
    <r>
      <t>星钥半导体</t>
    </r>
  </si>
  <si>
    <r>
      <t>华创鸿度</t>
    </r>
  </si>
  <si>
    <r>
      <t>西空智造</t>
    </r>
  </si>
  <si>
    <r>
      <t>诚锋科技</t>
    </r>
  </si>
  <si>
    <r>
      <rPr>
        <rFont val="微软雅黑"/>
        <b val="true"/>
        <i val="false"/>
        <strike val="false"/>
        <color rgb="FFC00000"/>
        <sz val="11"/>
        <u val="none"/>
      </rPr>
      <t>光伏单晶炉龙头</t>
    </r>
    <r>
      <rPr>
        <rFont val="微软雅黑"/>
        <b val="false"/>
        <i val="false"/>
        <strike val="false"/>
        <color rgb="FF000000"/>
        <sz val="11"/>
        <u val="none"/>
      </rPr>
      <t>，目前围绕硅、蓝宝石、碳化硅三大半导体材料布局关键设备和核心耗材</t>
    </r>
    <r>
      <rPr>
        <rFont val="微软雅黑"/>
        <b val="false"/>
        <i val="false"/>
        <strike val="false"/>
        <color rgb="FF000000"/>
        <sz val="11"/>
        <u val="none"/>
      </rPr>
      <t xml:space="preserve">
推出基于 N 型产品的第五代单晶炉，将超导磁场技术导入光伏领域，解决 N 型硅片生产过程中同心圆的问题</t>
    </r>
  </si>
  <si>
    <r>
      <rPr>
        <rFont val="微软雅黑"/>
        <b val="true"/>
        <i val="false"/>
        <strike val="false"/>
        <color rgb="FFC00000"/>
        <sz val="11"/>
        <u val="none"/>
      </rPr>
      <t>单晶炉与光伏线切设备龙头生产商</t>
    </r>
    <r>
      <rPr>
        <rFont val="微软雅黑"/>
        <b val="false"/>
        <i val="false"/>
        <strike val="false"/>
        <color rgb="FF000000"/>
        <sz val="11"/>
        <u val="none"/>
      </rPr>
      <t>，是国内</t>
    </r>
    <r>
      <rPr>
        <rFont val="微软雅黑"/>
        <b val="true"/>
        <i val="false"/>
        <strike val="false"/>
        <color rgb="FF000000"/>
        <sz val="11"/>
        <u val="none"/>
      </rPr>
      <t>最早从事专业切割设备</t>
    </r>
    <r>
      <rPr>
        <rFont val="微软雅黑"/>
        <b val="false"/>
        <i val="false"/>
        <strike val="false"/>
        <color rgb="FF000000"/>
        <sz val="11"/>
        <u val="none"/>
      </rPr>
      <t>研发制造的公司，2011 年完成了光伏行业多线切割机全系列产品的开发，2013 年收购海外领先的单晶炉设备公司Kayex，开拓了另一核心业务</t>
    </r>
    <r>
      <rPr>
        <rFont val="微软雅黑"/>
        <b val="false"/>
        <i val="false"/>
        <strike val="false"/>
        <color rgb="FF000000"/>
        <sz val="11"/>
        <u val="none"/>
      </rPr>
      <t xml:space="preserve">
电池片业务领域，公司主要采取参控股公司的方式进行拓展，参控股公司有艾华半导体、釜川股份及拉普拉斯（联营）等</t>
    </r>
    <r>
      <rPr>
        <rFont val="微软雅黑"/>
        <b val="false"/>
        <i val="false"/>
        <strike val="false"/>
        <color rgb="FF000000"/>
        <sz val="11"/>
        <u val="none"/>
      </rPr>
      <t xml:space="preserve">
近年来开始向光伏下游电池设备、组件及辅料业务拓展，同时横向向半导体硅材料、碳化硅及蓝宝石生长设备扩张
</t>
    </r>
  </si>
  <si>
    <r>
      <rPr>
        <rFont val="微软雅黑"/>
        <b val="false"/>
        <i val="false"/>
        <strike val="false"/>
        <color rgb="FF000000"/>
        <sz val="11"/>
        <u val="none"/>
      </rPr>
      <t>1、硅片设备</t>
    </r>
    <r>
      <rPr>
        <rFont val="微软雅黑"/>
        <b val="false"/>
        <i val="false"/>
        <strike val="false"/>
        <color rgb="FF000000"/>
        <sz val="11"/>
        <u val="none"/>
      </rPr>
      <t xml:space="preserve">
（1）</t>
    </r>
    <r>
      <rPr>
        <rFont val="微软雅黑"/>
        <b val="true"/>
        <i val="false"/>
        <strike val="false"/>
        <color rgb="FF000000"/>
        <sz val="11"/>
        <u val="none"/>
      </rPr>
      <t>单晶炉</t>
    </r>
    <r>
      <rPr>
        <rFont val="微软雅黑"/>
        <b val="false"/>
        <i val="false"/>
        <strike val="false"/>
        <color rgb="FF000000"/>
        <sz val="11"/>
        <u val="none"/>
      </rPr>
      <t xml:space="preserve">
（2）</t>
    </r>
    <r>
      <rPr>
        <rFont val="微软雅黑"/>
        <b val="true"/>
        <i val="false"/>
        <strike val="false"/>
        <color rgb="FF000000"/>
        <sz val="11"/>
        <u val="none"/>
      </rPr>
      <t>线切设备</t>
    </r>
    <r>
      <rPr>
        <rFont val="微软雅黑"/>
        <b val="false"/>
        <i val="false"/>
        <strike val="false"/>
        <color rgb="FF000000"/>
        <sz val="11"/>
        <u val="none"/>
      </rPr>
      <t>：多线切片机（主要）、多线切断机、多线切方机、磨床</t>
    </r>
    <r>
      <rPr>
        <rFont val="微软雅黑"/>
        <b val="false"/>
        <i val="false"/>
        <strike val="false"/>
        <color rgb="FF000000"/>
        <sz val="11"/>
        <u val="none"/>
      </rPr>
      <t xml:space="preserve">
（3）其他：硅片处理设备（清洗、分拣和插片）等</t>
    </r>
    <r>
      <rPr>
        <rFont val="微软雅黑"/>
        <b val="false"/>
        <i val="false"/>
        <strike val="false"/>
        <color rgb="FF000000"/>
        <sz val="11"/>
        <u val="none"/>
      </rPr>
      <t xml:space="preserve">
2、电池及组件设备</t>
    </r>
    <r>
      <rPr>
        <rFont val="微软雅黑"/>
        <b val="false"/>
        <i val="false"/>
        <strike val="false"/>
        <color rgb="FF000000"/>
        <sz val="11"/>
        <u val="none"/>
      </rPr>
      <t xml:space="preserve">
丝网印刷设备等</t>
    </r>
  </si>
  <si>
    <r>
      <rPr>
        <rFont val="微软雅黑"/>
        <b val="false"/>
        <i val="false"/>
        <strike val="false"/>
        <color rgb="FF000000"/>
        <sz val="11"/>
      </rPr>
      <t>高硬脆材料</t>
    </r>
    <r>
      <rPr>
        <rFont val="微软雅黑"/>
        <b val="true"/>
        <i val="false"/>
        <strike val="false"/>
        <color rgb="FFC00000"/>
        <sz val="11"/>
      </rPr>
      <t>切割设备和切割耗材供应商</t>
    </r>
    <r>
      <rPr>
        <rFont val="微软雅黑"/>
        <b val="false"/>
        <i val="false"/>
        <strike val="false"/>
        <color rgb="FF000000"/>
        <sz val="11"/>
      </rPr>
      <t>，主要从事高硬脆材料切割设备和切割耗材的研发、生产和销售，产品主要应用于光伏行业硅片制造环节，已实现切割设备、切割耗材、硅片及切割加工服务业务全覆盖</t>
    </r>
  </si>
  <si>
    <r>
      <rPr>
        <rFont val="微软雅黑"/>
        <b val="false"/>
        <i val="false"/>
        <strike val="false"/>
        <color rgb="FF000000"/>
        <sz val="11"/>
      </rPr>
      <t>聚焦高精密数控</t>
    </r>
    <r>
      <rPr>
        <rFont val="微软雅黑"/>
        <b val="true"/>
        <i val="false"/>
        <strike val="false"/>
        <color rgb="FFC00000"/>
        <sz val="11"/>
      </rPr>
      <t>切磨抛设备</t>
    </r>
    <r>
      <rPr>
        <rFont val="微软雅黑"/>
        <b val="false"/>
        <i val="false"/>
        <strike val="false"/>
        <color rgb="FF000000"/>
        <sz val="11"/>
      </rPr>
      <t>及配套耗材，布局“设备+耗材+加工服务”，产品覆盖消费电子、光伏、半导体、磁性材料等领域</t>
    </r>
  </si>
  <si>
    <r>
      <rPr>
        <rFont val="微软雅黑"/>
        <b val="false"/>
        <i val="false"/>
        <strike val="false"/>
        <color rgb="FF000000"/>
        <sz val="11"/>
      </rPr>
      <t>国内半导体设备市场份额约15%-18%，在刻蚀、薄膜沉积、热处理设备等领域市占率领先。在光伏领域聚焦光伏电池片制造的核心设备，涵盖扩散、氧化、退火、LPCVD及PECVD等关键工艺装备。</t>
    </r>
    <r>
      <rPr>
        <rFont val="微软雅黑"/>
        <b val="true"/>
        <i val="false"/>
        <strike val="false"/>
        <color rgb="FFC00000"/>
        <sz val="11"/>
      </rPr>
      <t>尤其在薄膜沉积等关键工艺设备领域具有技术优势</t>
    </r>
  </si>
  <si>
    <r>
      <rPr>
        <rFont val="微软雅黑"/>
        <b val="false"/>
        <i val="false"/>
        <strike val="false"/>
        <color rgb="FF000000"/>
        <sz val="11"/>
      </rPr>
      <t>聚焦光伏电池片制造所需高性能热制程、镀膜及配套自动化设备，</t>
    </r>
    <r>
      <rPr>
        <rFont val="微软雅黑"/>
        <b val="true"/>
        <i val="false"/>
        <strike val="false"/>
        <color rgb="FFC00000"/>
        <sz val="11"/>
      </rPr>
      <t>尤其在Topcon技术路线领域的LPCVD技术领先。</t>
    </r>
    <r>
      <rPr>
        <rFont val="微软雅黑"/>
        <b val="false"/>
        <i val="false"/>
        <strike val="false"/>
        <color rgb="FF000000"/>
        <sz val="11"/>
      </rPr>
      <t>同时产品覆盖半导体分立器件设备</t>
    </r>
  </si>
  <si>
    <r>
      <t>25</t>
    </r>
    <r>
      <rPr>
        <rFont val="微软雅黑"/>
        <charset val="134"/>
        <family val="2"/>
        <b val="true"/>
        <color theme="0"/>
        <sz val="11"/>
      </rPr>
      <t>M1</t>
    </r>
    <phoneticPr fontId="5" type="noConversion"/>
  </si>
  <si>
    <r>
      <t>2</t>
    </r>
    <r>
      <rPr>
        <rFont val="微软雅黑"/>
        <charset val="134"/>
        <family val="2"/>
        <b val="true"/>
        <color theme="0"/>
        <sz val="11"/>
      </rPr>
      <t>5</t>
    </r>
    <r>
      <rPr>
        <rFont val="微软雅黑"/>
        <charset val="134"/>
        <family val="2"/>
        <b val="true"/>
        <color theme="0"/>
        <sz val="11"/>
      </rPr>
      <t>M3</t>
    </r>
    <phoneticPr fontId="5" type="noConversion"/>
  </si>
  <si>
    <r>
      <t>2</t>
    </r>
    <r>
      <rPr>
        <rFont val="微软雅黑"/>
        <charset val="134"/>
        <family val="2"/>
        <b val="true"/>
        <color theme="0"/>
        <sz val="11"/>
      </rPr>
      <t>5</t>
    </r>
    <r>
      <rPr>
        <rFont val="微软雅黑"/>
        <charset val="134"/>
        <family val="2"/>
        <b val="true"/>
        <color theme="0"/>
        <sz val="11"/>
      </rPr>
      <t>M4</t>
    </r>
    <phoneticPr fontId="5" type="noConversion"/>
  </si>
  <si>
    <r>
      <t>25</t>
    </r>
    <r>
      <rPr>
        <rFont val="微软雅黑"/>
        <charset val="134"/>
        <family val="2"/>
        <b val="true"/>
        <color theme="0"/>
        <sz val="11"/>
      </rPr>
      <t>M5</t>
    </r>
    <phoneticPr fontId="5" type="noConversion"/>
  </si>
  <si>
    <r>
      <t>GGI</t>
    </r>
    <r>
      <rPr>
        <rFont val="微软雅黑"/>
        <charset val="134"/>
        <family val="2"/>
        <i val="true"/>
        <color theme="1"/>
        <sz val="11"/>
      </rPr>
      <t>I</t>
    </r>
    <r>
      <rPr>
        <rFont val="微软雅黑"/>
        <charset val="134"/>
        <family val="2"/>
        <color theme="1"/>
        <sz val="11"/>
      </rPr>
      <t>（26、30预测数据），中国汽车动力电池产业创新联盟(历史年度及月度数据）</t>
    </r>
    <phoneticPr fontId="5" type="noConversion"/>
  </si>
  <si>
    <r>
      <rPr>
        <rFont val="等线"/>
        <b val="true"/>
        <i val="false"/>
        <strike val="false"/>
        <color rgb="FF000000"/>
        <sz val="11"/>
        <u val="none"/>
      </rPr>
      <t>激光切割机：</t>
    </r>
    <r>
      <rPr>
        <rFont val="等线"/>
        <b val="true"/>
        <i val="false"/>
        <strike val="false"/>
        <color rgb="FF000000"/>
        <sz val="11"/>
        <u val="none"/>
      </rPr>
      <t xml:space="preserve">
1. 高功率激光切割机：</t>
    </r>
    <r>
      <rPr>
        <rFont val="等线"/>
        <b val="false"/>
        <i val="false"/>
        <strike val="false"/>
        <color rgb="FF000000"/>
        <sz val="11"/>
        <u val="none"/>
      </rPr>
      <t xml:space="preserve">该系列产品在厚板切割效率、坡口特殊加工工艺等关键技术上持续取得进步，主要应用于工程机械、建设机械、汽车配件、厨卫五金、电子电气、智能家居等多个行业。公司通过在长沙、天津、常州、张家港、济南等地设厂，实现就近生产交付和服务，不仅提升市场响应能力，也显著改善盈利能力。针对市场需求，公司加大对中低端市场的覆盖和拓展，使高功率激光切割设备整体市占率稳步提升。
 </t>
    </r>
    <r>
      <rPr>
        <rFont val="等线"/>
        <b val="true"/>
        <i val="false"/>
        <strike val="false"/>
        <color rgb="FF000000"/>
        <sz val="11"/>
        <u val="none"/>
      </rPr>
      <t>2. 三维五轴切割机：</t>
    </r>
    <r>
      <rPr>
        <rFont val="等线"/>
        <b val="false"/>
        <i val="false"/>
        <strike val="false"/>
        <color rgb="FF000000"/>
        <sz val="11"/>
        <u val="none"/>
      </rPr>
      <t xml:space="preserve">公司自主研发取得突破性进展，首年销售额突破5000万元，成功实现广泛的国产替代。该产品普遍应用于汽车行业热成型加工领域，凭借优异性能获得市场认可。
 </t>
    </r>
    <r>
      <rPr>
        <rFont val="等线"/>
        <b val="true"/>
        <i val="false"/>
        <strike val="false"/>
        <color rgb="FF000000"/>
        <sz val="11"/>
        <u val="none"/>
      </rPr>
      <t>3. 全自动激光切管机：</t>
    </r>
    <r>
      <rPr>
        <rFont val="等线"/>
        <b val="false"/>
        <i val="false"/>
        <strike val="false"/>
        <color rgb="FF000000"/>
        <sz val="11"/>
        <u val="none"/>
      </rPr>
      <t xml:space="preserve">专为管材切割设计，能够实现全自动化操作，大幅提升生产效率。适用于金属管和非金属管材的切割，广泛应用于建筑、家具制造和医疗器械等领域。
 </t>
    </r>
    <r>
      <rPr>
        <rFont val="等线"/>
        <b val="true"/>
        <i val="false"/>
        <strike val="false"/>
        <color rgb="FF000000"/>
        <sz val="11"/>
        <u val="none"/>
      </rPr>
      <t>4. 精密激光切割机：</t>
    </r>
    <r>
      <rPr>
        <rFont val="等线"/>
        <b val="false"/>
        <i val="false"/>
        <strike val="false"/>
        <color rgb="FF000000"/>
        <sz val="11"/>
        <u val="none"/>
      </rPr>
      <t xml:space="preserve">专为精密加工需求设计，提供高精度的切割解决方案。适用于电子、医疗、钟表等对加工精度要求极高的行业。
 </t>
    </r>
    <r>
      <rPr>
        <rFont val="等线"/>
        <b val="true"/>
        <i val="false"/>
        <strike val="false"/>
        <color rgb="FF000000"/>
        <sz val="11"/>
        <u val="none"/>
      </rPr>
      <t>折弯机：</t>
    </r>
    <r>
      <rPr>
        <rFont val="等线"/>
        <b val="true"/>
        <i val="false"/>
        <strike val="false"/>
        <color rgb="FF000000"/>
        <sz val="11"/>
        <u val="none"/>
      </rPr>
      <t xml:space="preserve">
 1. HBS电液伺服折弯机：</t>
    </r>
    <r>
      <rPr>
        <rFont val="等线"/>
        <b val="false"/>
        <i val="false"/>
        <strike val="false"/>
        <color rgb="FF000000"/>
        <sz val="11"/>
        <u val="none"/>
      </rPr>
      <t xml:space="preserve">集成液压系统+高频比例阀+挠度补偿，整机经ANSYS分析和双重时效去应力，长期保持高速高精度折弯。
 </t>
    </r>
    <r>
      <rPr>
        <rFont val="等线"/>
        <b val="true"/>
        <i val="false"/>
        <strike val="false"/>
        <color rgb="FF000000"/>
        <sz val="11"/>
        <u val="none"/>
      </rPr>
      <t>2. HBD双伺服油电混动折弯机：</t>
    </r>
    <r>
      <rPr>
        <rFont val="等线"/>
        <b val="false"/>
        <i val="false"/>
        <strike val="false"/>
        <color rgb="FF000000"/>
        <sz val="11"/>
        <u val="none"/>
      </rPr>
      <t xml:space="preserve">左右独立伺服电机分别驱动Y1/Y2，油路短、响应快，同等吨位下节拍更高、能耗更低。
 </t>
    </r>
    <r>
      <rPr>
        <rFont val="等线"/>
        <b val="true"/>
        <i val="false"/>
        <strike val="false"/>
        <color rgb="FF000000"/>
        <sz val="11"/>
        <u val="none"/>
      </rPr>
      <t>3. HBE纯电伺服折弯机：</t>
    </r>
    <r>
      <rPr>
        <rFont val="等线"/>
        <b val="false"/>
        <i val="false"/>
        <strike val="false"/>
        <color rgb="FF000000"/>
        <sz val="11"/>
        <u val="none"/>
      </rPr>
      <t xml:space="preserve">伺服电机直驱，无液压油，零泄漏、低噪音，免维护且节能50%以上，专为中小精密钣金绿色生产设计。
 </t>
    </r>
    <r>
      <rPr>
        <rFont val="等线"/>
        <b val="true"/>
        <i val="false"/>
        <strike val="false"/>
        <color rgb="FF000000"/>
        <sz val="11"/>
        <u val="none"/>
      </rPr>
      <t>4. HBI多边折弯中心</t>
    </r>
    <r>
      <rPr>
        <rFont val="等线"/>
        <b val="false"/>
        <i val="false"/>
        <strike val="false"/>
        <color rgb="FF000000"/>
        <sz val="11"/>
        <u val="none"/>
      </rPr>
      <t xml:space="preserve">：一套万能模具即可完成压平、圆弧、回形、翻边等复杂形状，换单无需定制模具，小批量多品种订单切换分钟级完成。
 </t>
    </r>
    <r>
      <rPr>
        <rFont val="等线"/>
        <b val="true"/>
        <i val="false"/>
        <strike val="false"/>
        <color rgb="FF000000"/>
        <sz val="11"/>
        <u val="none"/>
      </rPr>
      <t>5. 自动化折弯单元：</t>
    </r>
    <r>
      <rPr>
        <rFont val="等线"/>
        <b val="false"/>
        <i val="false"/>
        <strike val="false"/>
        <color rgb="FF000000"/>
        <sz val="11"/>
        <u val="none"/>
      </rPr>
      <t xml:space="preserve">固定式机器人配自动对中台、翻面架和快换抓手，24h无人值守，批量工件一致性≤±0.1 mm，人工强度降低70%。
 </t>
    </r>
    <r>
      <rPr>
        <rFont val="等线"/>
        <b val="true"/>
        <i val="false"/>
        <strike val="false"/>
        <color rgb="FF000000"/>
        <sz val="11"/>
        <u val="none"/>
      </rPr>
      <t>6. 双机联动折弯机：</t>
    </r>
    <r>
      <rPr>
        <rFont val="等线"/>
        <b val="false"/>
        <i val="false"/>
        <strike val="false"/>
        <color rgb="FF000000"/>
        <sz val="11"/>
        <u val="none"/>
      </rPr>
      <t xml:space="preserve">两台HBS同步控制，拼接后加工长度可达12 m，专供汽车、灯杆、电力杆等超长超重板材一次成型。
 </t>
    </r>
    <r>
      <rPr>
        <rFont val="等线"/>
        <b val="true"/>
        <i val="false"/>
        <strike val="false"/>
        <color rgb="FF000000"/>
        <sz val="11"/>
        <u val="none"/>
      </rPr>
      <t>7. 重型折弯机：</t>
    </r>
    <r>
      <rPr>
        <rFont val="等线"/>
        <b val="false"/>
        <i val="false"/>
        <strike val="false"/>
        <color rgb="FF000000"/>
        <sz val="11"/>
        <u val="none"/>
      </rPr>
      <t>加高开口与加长行程设计，工作台载重可达百吨级，有限元优化+整体退火，持续满负荷运行仍保持微米级重复精度。</t>
    </r>
  </si>
  <si>
    <r>
      <rPr>
        <rFont val="等线"/>
        <b val="true"/>
        <i val="false"/>
        <strike val="false"/>
        <color rgb="FF000000"/>
        <sz val="11"/>
      </rPr>
      <t>1. 三维五轴激光切割智能装备</t>
    </r>
    <r>
      <rPr>
        <rFont val="等线"/>
        <b val="false"/>
        <i val="false"/>
        <strike val="false"/>
        <color rgb="FF000000"/>
        <sz val="11"/>
      </rPr>
      <t xml:space="preserve">
第五代三维五轴激光+AI智能切割装备，自主研发AI智能切割技术，实现高精度、高效率加工；已获得新能源汽车行业批量订单，覆盖国产及合资品牌
 </t>
    </r>
    <r>
      <rPr>
        <rFont val="等线"/>
        <b val="true"/>
        <i val="false"/>
        <strike val="false"/>
        <color rgb="FF000000"/>
        <sz val="11"/>
      </rPr>
      <t>2. 高功率激光切割装备</t>
    </r>
    <r>
      <rPr>
        <rFont val="等线"/>
        <b val="false"/>
        <i val="false"/>
        <strike val="false"/>
        <color rgb="FF000000"/>
        <sz val="11"/>
      </rPr>
      <t xml:space="preserve">
大幅面高功率激光坡口切割智能装备：应用于船舶制造、轨道交通、机械制造等行业
超大幅面激光复合铣焊产线：全球首台喷码划线智能装备，在头部船企批量应用，2024年船舶行业订单同比增长134%
 </t>
    </r>
    <r>
      <rPr>
        <rFont val="等线"/>
        <b val="true"/>
        <i val="false"/>
        <strike val="false"/>
        <color rgb="FF000000"/>
        <sz val="11"/>
      </rPr>
      <t>3. 行业专用切割设备</t>
    </r>
    <r>
      <rPr>
        <rFont val="等线"/>
        <b val="false"/>
        <i val="false"/>
        <strike val="false"/>
        <color rgb="FF000000"/>
        <sz val="11"/>
      </rPr>
      <t xml:space="preserve">
轮胎模具在线式激光清洗智能装备：第二代产品，攻克三维双头编程软件等核心技术，实现海外市场较大增量
全自动铝合金电池托盘生产线：批量出口欧盟，带动出口总额同比增长34%
多头激光落料自动化产线：高端产品在海外市场取得突破
 </t>
    </r>
    <r>
      <rPr>
        <rFont val="等线"/>
        <b val="true"/>
        <i val="false"/>
        <strike val="false"/>
        <color rgb="FF000000"/>
        <sz val="11"/>
      </rPr>
      <t xml:space="preserve">4. 精密微纳加工设备
 </t>
    </r>
    <r>
      <rPr>
        <rFont val="等线"/>
        <b val="false"/>
        <i val="false"/>
        <strike val="false"/>
        <color rgb="FF000000"/>
        <sz val="11"/>
      </rPr>
      <t>脆材切割装备：第四代蓝宝石切割去除智能装备实现批量化应用，"光刃X5 Pro"车载玻璃激光加工自动化产线成功推向海外市场
半导体切割装备：围绕SiC第三代半导体升级激光表切、隐切智能装备，实现全自动晶圆激光退火装备量产验证及首台套销售</t>
    </r>
  </si>
  <si>
    <r>
      <rPr>
        <rFont val="等线"/>
        <b val="true"/>
        <i val="false"/>
        <strike val="false"/>
        <color rgb="FF000000"/>
        <sz val="11"/>
      </rPr>
      <t>激光切割机：
1. 超高功率光纤激光切割机：</t>
    </r>
    <r>
      <rPr>
        <rFont val="等线"/>
        <b val="false"/>
        <i val="false"/>
        <strike val="false"/>
        <color rgb="FF000000"/>
        <sz val="11"/>
      </rPr>
      <t xml:space="preserve">超高功率光纤激光切割机采用高功率光纤激光器，具备切割厚金属板材的能力，切割效率高，精度可达微米级，适用于汽车零部件、工程机械等对加工精度要求高的行业。
 </t>
    </r>
    <r>
      <rPr>
        <rFont val="等线"/>
        <b val="true"/>
        <i val="false"/>
        <strike val="false"/>
        <color rgb="FF000000"/>
        <sz val="11"/>
      </rPr>
      <t>2. 超大幅面光纤激光切割机：</t>
    </r>
    <r>
      <rPr>
        <rFont val="等线"/>
        <b val="false"/>
        <i val="false"/>
        <strike val="false"/>
        <color rgb="FF000000"/>
        <sz val="11"/>
      </rPr>
      <t xml:space="preserve">超大幅面光纤激光切割机专为加工大型板材设计，具有超大的加工幅面，可减少拼接次数，提高生产效率，适用于桥梁建筑模板、装配式建筑等大型构件加工。
 </t>
    </r>
    <r>
      <rPr>
        <rFont val="等线"/>
        <b val="true"/>
        <i val="false"/>
        <strike val="false"/>
        <color rgb="FF000000"/>
        <sz val="11"/>
      </rPr>
      <t>3. 板管一体激光切割机：</t>
    </r>
    <r>
      <rPr>
        <rFont val="等线"/>
        <b val="false"/>
        <i val="false"/>
        <strike val="false"/>
        <color rgb="FF000000"/>
        <sz val="11"/>
      </rPr>
      <t xml:space="preserve">板管一体激光切割机可同时切割板材和管材，一机多用，节约成本，适用于机械制造、家具制造等行业，满足多样化加工需求。
 </t>
    </r>
    <r>
      <rPr>
        <rFont val="等线"/>
        <b val="true"/>
        <i val="false"/>
        <strike val="false"/>
        <color rgb="FF000000"/>
        <sz val="11"/>
      </rPr>
      <t>4. 全自动激光切管机：</t>
    </r>
    <r>
      <rPr>
        <rFont val="等线"/>
        <b val="false"/>
        <i val="false"/>
        <strike val="false"/>
        <color rgb="FF000000"/>
        <sz val="11"/>
      </rPr>
      <t xml:space="preserve">全自动激光切管机针对管材加工设计，具备自动上下料功能，可适配管材自动上料装置，提升加工效率，适用于农机农具管件下料等场景。
 </t>
    </r>
    <r>
      <rPr>
        <rFont val="等线"/>
        <b val="true"/>
        <i val="false"/>
        <strike val="false"/>
        <color rgb="FF000000"/>
        <sz val="11"/>
      </rPr>
      <t>5. 激光柔性加工生产线：</t>
    </r>
    <r>
      <rPr>
        <rFont val="等线"/>
        <b val="false"/>
        <i val="false"/>
        <strike val="false"/>
        <color rgb="FF000000"/>
        <sz val="11"/>
      </rPr>
      <t xml:space="preserve">激光柔性加工生产线集成激光切割、折弯、焊接等多功能，可根据客户需求提供定制化加工解决方案，适用于多种金属板材的综合加工，提升生产效率和自动化水平。
 </t>
    </r>
    <r>
      <rPr>
        <rFont val="等线"/>
        <b val="true"/>
        <i val="false"/>
        <strike val="false"/>
        <color rgb="FF000000"/>
        <sz val="11"/>
      </rPr>
      <t>6. 激光自动卷落料线：</t>
    </r>
    <r>
      <rPr>
        <rFont val="等线"/>
        <b val="false"/>
        <i val="false"/>
        <strike val="false"/>
        <color rgb="FF000000"/>
        <sz val="11"/>
      </rPr>
      <t xml:space="preserve">激光自动卷落料线可实现金属板材的自动卷料切割和落料，适用于大规模金属板材加工，提高生产效率和材料利用率。
 </t>
    </r>
    <r>
      <rPr>
        <rFont val="等线"/>
        <b val="true"/>
        <i val="false"/>
        <strike val="false"/>
        <color rgb="FF000000"/>
        <sz val="11"/>
      </rPr>
      <t>折弯机：</t>
    </r>
    <r>
      <rPr>
        <rFont val="等线"/>
        <b val="true"/>
        <i val="false"/>
        <strike val="false"/>
        <color rgb="FF000000"/>
        <sz val="11"/>
      </rPr>
      <t xml:space="preserve">
 1. 自动换刀柔性折弯中心：</t>
    </r>
    <r>
      <rPr>
        <rFont val="等线"/>
        <b val="false"/>
        <i val="false"/>
        <strike val="false"/>
        <color rgb="FF000000"/>
        <sz val="11"/>
      </rPr>
      <t xml:space="preserve">最大折弯长度 2500 mm，宽度 1250 mm，高度 200/300 mm，最快 0.2 秒/刀，机器人自动上下料，适合多品种、大批量柔性产线。
 </t>
    </r>
    <r>
      <rPr>
        <rFont val="等线"/>
        <b val="true"/>
        <i val="false"/>
        <strike val="false"/>
        <color rgb="FF000000"/>
        <sz val="11"/>
      </rPr>
      <t>2. 压臂式柔性折弯中心：</t>
    </r>
    <r>
      <rPr>
        <rFont val="等线"/>
        <b val="false"/>
        <i val="false"/>
        <strike val="false"/>
        <color rgb="FF000000"/>
        <sz val="11"/>
      </rPr>
      <t xml:space="preserve">最大折弯长度 3200 mm，宽度 1250 mm，高度 200/300 mm，最快 0.2 秒/刀，压臂送料，兼顾长板与速度，常用于电梯、幕墙长尺寸钣金。
 </t>
    </r>
    <r>
      <rPr>
        <rFont val="等线"/>
        <b val="true"/>
        <i val="false"/>
        <strike val="false"/>
        <color rgb="FF000000"/>
        <sz val="11"/>
      </rPr>
      <t>3. 吸盘式柔性折弯中心：</t>
    </r>
    <r>
      <rPr>
        <rFont val="等线"/>
        <b val="false"/>
        <i val="false"/>
        <strike val="false"/>
        <color rgb="FF000000"/>
        <sz val="11"/>
      </rPr>
      <t>最大折弯长度 1500 mm，宽度 1250 mm，高度 170 mm，最快 0.2 秒/刀，吸盘送料，占地小、换单快，适合家电、电器柜等中小件批量生产。</t>
    </r>
  </si>
  <si>
    <r>
      <rPr>
        <rFont val="等线"/>
        <b val="true"/>
        <i val="false"/>
        <strike val="false"/>
        <color rgb="FF000000"/>
        <sz val="11"/>
        <u val="none"/>
      </rPr>
      <t>1. 超高功率激光切割机II：</t>
    </r>
    <r>
      <rPr>
        <rFont val="等线"/>
        <b val="false"/>
        <i val="false"/>
        <strike val="false"/>
        <color rgb="FF000000"/>
        <sz val="11"/>
        <u val="none"/>
      </rPr>
      <t xml:space="preserve">搭载30 kW+超高功率与全闭环智能切割头，可在碳钢空气切割中提速300%，专为汽车钣金、航空航天等24 h满负荷产线提供高亮断面与零挂渣效率。 </t>
    </r>
    <r>
      <rPr>
        <rFont val="等线"/>
        <b val="true"/>
        <i val="false"/>
        <strike val="false"/>
        <color rgb="FF000000"/>
        <sz val="11"/>
        <u val="none"/>
      </rPr>
      <t xml:space="preserve"> 
2. 性能款高功率激光切割机I：</t>
    </r>
    <r>
      <rPr>
        <rFont val="等线"/>
        <b val="false"/>
        <i val="false"/>
        <strike val="false"/>
        <color rgb="FF000000"/>
        <sz val="11"/>
        <u val="none"/>
      </rPr>
      <t xml:space="preserve">12–30 kW性能款双交换台设计，配合2.5 G加速度与0.03 mm定位精度，一次上下料不停机，轻松应对通用钣金、机械制造中大批量化、多批次快速切换需求。  
</t>
    </r>
    <r>
      <rPr>
        <rFont val="等线"/>
        <b val="true"/>
        <i val="false"/>
        <strike val="false"/>
        <color rgb="FF000000"/>
        <sz val="11"/>
        <u val="none"/>
      </rPr>
      <t>3,。 经济款高功率激光切割机：</t>
    </r>
    <r>
      <rPr>
        <rFont val="等线"/>
        <b val="false"/>
        <i val="false"/>
        <strike val="false"/>
        <color rgb="FF000000"/>
        <sz val="11"/>
        <u val="none"/>
      </rPr>
      <t xml:space="preserve">20 kW级经济型高功率切割平台，以精简配置和节能激光器把采购成本再降15%，却仍保持亮面切割品质，是中小外协、广告装饰及不锈钢家具等预算敏感场景的理想选择。  
</t>
    </r>
    <r>
      <rPr>
        <rFont val="等线"/>
        <b val="true"/>
        <i val="false"/>
        <strike val="false"/>
        <color rgb="FF000000"/>
        <sz val="11"/>
        <u val="none"/>
      </rPr>
      <t>4. 经济型大幅面激光切割机I：</t>
    </r>
    <r>
      <rPr>
        <rFont val="等线"/>
        <b val="false"/>
        <i val="false"/>
        <strike val="false"/>
        <color rgb="FF000000"/>
        <sz val="11"/>
        <u val="none"/>
      </rPr>
      <t xml:space="preserve">6–12 m幅面经济型大幅面切割，床身免地基、分段式拼接可随厂房扩展，整板一次下料减少焊缝，为船舶面板、钢结构桥梁和建筑幕墙提供高效、低变形的大板解决方案。 </t>
    </r>
    <r>
      <rPr>
        <rFont val="等线"/>
        <b val="true"/>
        <i val="false"/>
        <strike val="false"/>
        <color rgb="FF000000"/>
        <sz val="11"/>
        <u val="none"/>
      </rPr>
      <t xml:space="preserve"> 
5. 旗舰款超大幅面激光切割机：</t>
    </r>
    <r>
      <rPr>
        <rFont val="等线"/>
        <b val="false"/>
        <i val="false"/>
        <strike val="false"/>
        <color rgb="FF000000"/>
        <sz val="11"/>
        <u val="none"/>
      </rPr>
      <t xml:space="preserve">50 m轨道式超大幅面双头并联切割，最大承重30 t，可同步或独立加工两张风电法兰、工程机械底板，实现整板不切边、不二次定位，把超大工件生产节拍缩短一半。  
</t>
    </r>
    <r>
      <rPr>
        <rFont val="等线"/>
        <b val="true"/>
        <i val="false"/>
        <strike val="false"/>
        <color rgb="FF000000"/>
        <sz val="11"/>
        <u val="none"/>
      </rPr>
      <t>6. 坡口激光切割机：</t>
    </r>
    <r>
      <rPr>
        <rFont val="等线"/>
        <b val="false"/>
        <i val="false"/>
        <strike val="false"/>
        <color rgb="FF000000"/>
        <sz val="11"/>
        <u val="none"/>
      </rPr>
      <t>可自行选配±45°五轴坡口头，一次完成V/X/Y/K型坡口及根部留根，取代传统刨边+铣边两道工序，为海工导管架、钢结构立柱、管道预制节省60%工时并直接转入自动焊接。</t>
    </r>
  </si>
  <si>
    <r>
      <rPr>
        <rFont val="等线"/>
        <b val="true"/>
        <i val="false"/>
        <strike val="false"/>
        <color rgb="FF000000"/>
        <sz val="11"/>
        <u val="none"/>
      </rPr>
      <t>激光切割机：</t>
    </r>
    <r>
      <rPr>
        <rFont val="等线"/>
        <b val="true"/>
        <i val="false"/>
        <strike val="false"/>
        <color rgb="FF000000"/>
        <sz val="11"/>
        <u val="none"/>
      </rPr>
      <t xml:space="preserve">
1. YDAC/YDGC 三维五轴激光切割机：</t>
    </r>
    <r>
      <rPr>
        <rFont val="等线"/>
        <b val="false"/>
        <i val="false"/>
        <strike val="false"/>
        <color rgb="FF000000"/>
        <sz val="11"/>
        <u val="none"/>
      </rPr>
      <t xml:space="preserve">五轴联动数控系统一次性完成热成形高强钢三维件的切孔与修边，定位精度±0.05 mm，专为汽车A/B柱等复杂曲面件提供高速精修。  
</t>
    </r>
    <r>
      <rPr>
        <rFont val="等线"/>
        <b val="true"/>
        <i val="false"/>
        <strike val="false"/>
        <color rgb="FF000000"/>
        <sz val="11"/>
        <u val="none"/>
      </rPr>
      <t>2. YDRC 三维机器人激光切割系统：</t>
    </r>
    <r>
      <rPr>
        <rFont val="等线"/>
        <b val="false"/>
        <i val="false"/>
        <strike val="false"/>
        <color rgb="FF000000"/>
        <sz val="11"/>
        <u val="none"/>
      </rPr>
      <t xml:space="preserve">六轴工业机器人搭载光纤激光器并运行FastCut算法，在多机协同下保持原精度，可对异形管件、摩托车车架进行立体轮廓柔性切割。  
</t>
    </r>
    <r>
      <rPr>
        <rFont val="等线"/>
        <b val="true"/>
        <i val="false"/>
        <strike val="false"/>
        <color rgb="FF000000"/>
        <sz val="11"/>
        <u val="none"/>
      </rPr>
      <t>3. YDRCN 三维机器人CO</t>
    </r>
    <r>
      <rPr>
        <rFont val="Tahoma"/>
        <b val="true"/>
        <i val="false"/>
        <strike val="false"/>
        <color rgb="FF000000"/>
        <sz val="11"/>
        <u val="none"/>
      </rPr>
      <t>₂</t>
    </r>
    <r>
      <rPr>
        <rFont val="等线"/>
        <b val="true"/>
        <i val="false"/>
        <strike val="false"/>
        <color rgb="FF000000"/>
        <sz val="11"/>
        <u val="none"/>
      </rPr>
      <t>激光切割系统：</t>
    </r>
    <r>
      <rPr>
        <rFont val="等线"/>
        <b val="false"/>
        <i val="false"/>
        <strike val="false"/>
        <color rgb="FF000000"/>
        <sz val="11"/>
        <u val="none"/>
      </rPr>
      <t>内置史陶比尔五轴机器人与罗芬CO</t>
    </r>
    <r>
      <rPr>
        <rFont val="Tahoma"/>
        <b val="false"/>
        <i val="false"/>
        <strike val="false"/>
        <color rgb="FF000000"/>
        <sz val="11"/>
        <u val="none"/>
      </rPr>
      <t>₂</t>
    </r>
    <r>
      <rPr>
        <rFont val="等线"/>
        <b val="false"/>
        <i val="false"/>
        <strike val="false"/>
        <color rgb="FF000000"/>
        <sz val="11"/>
        <u val="none"/>
      </rPr>
      <t xml:space="preserve">激光器，悬臂吊挂结构可扩外部轴，实现非金属或高反材料三维件的洁净无接触切边，适用于汽车内饰、复合材料覆盖件。  
</t>
    </r>
    <r>
      <rPr>
        <rFont val="等线"/>
        <b val="true"/>
        <i val="false"/>
        <strike val="false"/>
        <color rgb="FF000000"/>
        <sz val="11"/>
        <u val="none"/>
      </rPr>
      <t>4. 三维激光切割自动化：</t>
    </r>
    <r>
      <rPr>
        <rFont val="等线"/>
        <b val="false"/>
        <i val="false"/>
        <strike val="false"/>
        <color rgb="FF000000"/>
        <sz val="11"/>
        <u val="none"/>
      </rPr>
      <t xml:space="preserve">集成料库、变位机及机器人上下料，可在线选配多种自动化模块，实现三维激光切割的24小时无人连续生产，满足多品种小批量钣金-管件柔性制造需求。
</t>
    </r>
    <r>
      <rPr>
        <rFont val="等线"/>
        <b val="true"/>
        <i val="false"/>
        <strike val="false"/>
        <color rgb="FF000000"/>
        <sz val="11"/>
        <u val="none"/>
      </rPr>
      <t>折弯机：</t>
    </r>
    <r>
      <rPr>
        <rFont val="等线"/>
        <b val="true"/>
        <i val="false"/>
        <strike val="false"/>
        <color rgb="FF000000"/>
        <sz val="11"/>
        <u val="none"/>
      </rPr>
      <t xml:space="preserve">
1. PBM高端型数控折弯机：</t>
    </r>
    <r>
      <rPr>
        <rFont val="等线"/>
        <b val="false"/>
        <i val="false"/>
        <strike val="false"/>
        <color rgb="FF000000"/>
        <sz val="11"/>
        <u val="none"/>
      </rPr>
      <t xml:space="preserve">油电混合驱动+泵控同步带来微米级重复定位精度和节能的高速折弯，适合对精密电子支架、汽车加强梁等复杂工件进行高效高质量折弯。  
</t>
    </r>
    <r>
      <rPr>
        <rFont val="等线"/>
        <b val="true"/>
        <i val="false"/>
        <strike val="false"/>
        <color rgb="FF000000"/>
        <sz val="11"/>
        <u val="none"/>
      </rPr>
      <t>2. PBE电伺服驱动折弯机：</t>
    </r>
    <r>
      <rPr>
        <rFont val="等线"/>
        <b val="false"/>
        <i val="false"/>
        <strike val="false"/>
        <color rgb="FF000000"/>
        <sz val="11"/>
        <u val="none"/>
      </rPr>
      <t xml:space="preserve">全电无油伺服系统实现低噪、少维护、低能耗的洁净折弯，悬臂数控一键操作，专为小型精密钣金如5G机箱、医疗托盘提供绿色高效解决方案。  
</t>
    </r>
    <r>
      <rPr>
        <rFont val="等线"/>
        <b val="true"/>
        <i val="false"/>
        <strike val="false"/>
        <color rgb="FF000000"/>
        <sz val="11"/>
        <u val="none"/>
      </rPr>
      <t>3. PBC高性能数控折弯机：</t>
    </r>
    <r>
      <rPr>
        <rFont val="等线"/>
        <b val="false"/>
        <i val="false"/>
        <strike val="false"/>
        <color rgb="FF000000"/>
        <sz val="11"/>
        <u val="none"/>
      </rPr>
      <t xml:space="preserve">机械挠度补偿工作台逐点微调配合闭环液压同步，保证长工件角度一致性，适用于家电门板、电梯壁板等对外观精度要求高的钣金折弯。  
</t>
    </r>
    <r>
      <rPr>
        <rFont val="等线"/>
        <b val="true"/>
        <i val="false"/>
        <strike val="false"/>
        <color rgb="FF000000"/>
        <sz val="11"/>
        <u val="none"/>
      </rPr>
      <t>4. PBG双伺服数控折弯机：</t>
    </r>
    <r>
      <rPr>
        <rFont val="等线"/>
        <b val="false"/>
        <i val="false"/>
        <strike val="false"/>
        <color rgb="FF000000"/>
        <sz val="11"/>
        <u val="none"/>
      </rPr>
      <t xml:space="preserve">双伺服电机驱动双油泵技术使空程速度提升、油箱容量更少，兼顾节能与效率，适合批量生产仓储货架、电气控制柜等厚度3-6mm的中等强度钣金。  
</t>
    </r>
    <r>
      <rPr>
        <rFont val="等线"/>
        <b val="true"/>
        <i val="false"/>
        <strike val="false"/>
        <color rgb="FF000000"/>
        <sz val="11"/>
        <u val="none"/>
      </rPr>
      <t>5. PBA高速型数控折弯机：</t>
    </r>
    <r>
      <rPr>
        <rFont val="等线"/>
        <b val="false"/>
        <i val="false"/>
        <strike val="false"/>
        <color rgb="FF000000"/>
        <sz val="11"/>
        <u val="none"/>
      </rPr>
      <t xml:space="preserve">全新工业设计搭配优化电液伺服参数，滑块快下-工进-返程时间缩短，适合LED箱体、机箱机柜等薄板件的高速、多道折弯连续作业。  
</t>
    </r>
    <r>
      <rPr>
        <rFont val="等线"/>
        <b val="true"/>
        <i val="false"/>
        <strike val="false"/>
        <color rgb="FF000000"/>
        <sz val="11"/>
        <u val="none"/>
      </rPr>
      <t>6. PB大吨位数控折弯机：</t>
    </r>
    <r>
      <rPr>
        <rFont val="等线"/>
        <b val="false"/>
        <i val="false"/>
        <strike val="false"/>
        <color rgb="FF000000"/>
        <sz val="11"/>
        <u val="none"/>
      </rPr>
      <t>优质钢板整体焊接与五面体加工中心保证重载刚性，电液伺服全闭环控制实现大行程同步精度，专为厚达20mm的工程机械刀板、船舶加强肋等大尺寸高强度工件提供稳定折弯。</t>
    </r>
  </si>
  <si>
    <r>
      <rPr>
        <rFont val="等线"/>
        <b val="false"/>
        <i val="false"/>
        <strike val="false"/>
        <color rgb="FF000000"/>
        <sz val="11"/>
      </rPr>
      <t>YDRCN 三维机器人CO</t>
    </r>
    <r>
      <rPr>
        <rFont val="Tahoma"/>
        <b val="false"/>
        <i val="false"/>
        <strike val="false"/>
        <color rgb="FF000000"/>
        <sz val="11"/>
      </rPr>
      <t>₂</t>
    </r>
    <r>
      <rPr>
        <rFont val="等线"/>
        <b val="false"/>
        <i val="false"/>
        <strike val="false"/>
        <color rgb="FF000000"/>
        <sz val="11"/>
      </rPr>
      <t>激光切割系统功率&lt;650w；其余未披露</t>
    </r>
  </si>
</sst>
</file>

<file path=xl/styles.xml><?xml version="1.0" encoding="utf-8"?>
<styleSheet xmlns="http://schemas.openxmlformats.org/spreadsheetml/2006/main">
  <numFmts count="11">
    <numFmt numFmtId="300" formatCode="0_);[Red](0)"/>
    <numFmt numFmtId="301" formatCode="#,##0.0000"/>
    <numFmt numFmtId="302" formatCode="yyyy&quot;年&quot;m&quot;月&quot;d&quot;日&quot;;@"/>
    <numFmt numFmtId="303" formatCode="yyyy-mm-dd"/>
    <numFmt numFmtId="304" formatCode="yyyy/m/d;@"/>
    <numFmt numFmtId="305" formatCode="0.0_ "/>
    <numFmt numFmtId="306" formatCode="0.0_);[Red]\(0.0\)"/>
    <numFmt numFmtId="307" formatCode="0.00_);[Red]\(0.00\)"/>
    <numFmt numFmtId="308" formatCode="0_);[Red]\(0\)"/>
    <numFmt numFmtId="309" formatCode="yyyy&quot;年&quot;m&quot;月&quot;;@"/>
    <numFmt numFmtId="310" formatCode="General"/>
  </numFmts>
  <fonts count="57">
    <font>
      <name val="等线"/>
      <charset val="134"/>
      <color theme="1"/>
      <sz val="11"/>
      <scheme val="minor"/>
    </font>
    <font>
      <name val="等线"/>
      <charset val="134"/>
      <color rgb="FF175CEB"/>
      <sz val="10"/>
      <u/>
      <scheme val="minor"/>
    </font>
    <font>
      <name val="Segoe UI Symbol"/>
      <family val="2"/>
      <color rgb="FF000000"/>
      <sz val="10"/>
    </font>
    <font>
      <name val="宋体"/>
    </font>
    <font>
      <name val="宋体"/>
      <b val="true"/>
      <color rgb="FFFFFFFF"/>
      <sz val="9"/>
    </font>
    <font>
      <name val="宋体"/>
      <sz val="9"/>
    </font>
    <font>
      <name val="宋体"/>
      <color rgb="FFFF0000"/>
      <sz val="9"/>
    </font>
    <font>
      <name val="微软雅黑"/>
      <charset val="134"/>
      <family val="2"/>
      <b val="true"/>
      <color rgb="FF000000"/>
      <sz val="12"/>
    </font>
    <font>
      <name val="微软雅黑"/>
      <charset val="134"/>
      <family val="2"/>
      <b val="true"/>
      <color rgb="FFFFFFFF"/>
      <sz val="12"/>
    </font>
    <font>
      <name val="微软雅黑"/>
      <charset val="134"/>
      <family val="2"/>
      <b val="true"/>
      <color theme="0"/>
      <sz val="12"/>
    </font>
    <font>
      <name val="微软雅黑"/>
      <charset val="134"/>
      <family val="2"/>
      <b val="true"/>
      <sz val="12"/>
    </font>
    <font>
      <name val="微软雅黑"/>
      <charset val="134"/>
      <family val="2"/>
      <sz val="12"/>
    </font>
    <font>
      <name val="微软雅黑"/>
      <b val="true"/>
      <color rgb="FF000000"/>
      <sz val="12"/>
    </font>
    <font>
      <name val="微软雅黑"/>
      <b val="true"/>
      <sz val="12"/>
    </font>
    <font>
      <name val="微软雅黑"/>
      <b val="true"/>
      <color rgb="FFFFFFFF"/>
      <sz val="12"/>
    </font>
    <font>
      <name val="微软雅黑"/>
      <b val="true"/>
      <color theme="0"/>
      <sz val="12"/>
    </font>
    <font>
      <name val="微软雅黑"/>
      <sz val="12"/>
    </font>
    <font>
      <b val="true"/>
      <color rgb="FFFFFFFF"/>
    </font>
    <font>
      <b val="true"/>
      <color rgb="FFFFFFFF"/>
      <sz val="11"/>
    </font>
    <font>
      <b val="true"/>
    </font>
    <font>
      <sz val="10"/>
    </font>
    <font>
      <sz val="11"/>
    </font>
    <font>
      <b val="true"/>
      <color rgb="FFC00000"/>
    </font>
    <font>
      <name val="微软雅黑"/>
      <charset val="134"/>
      <family val="2"/>
      <b val="true"/>
      <color theme="0"/>
      <sz val="11"/>
    </font>
    <font>
      <name val="微软雅黑"/>
      <b val="true"/>
      <color theme="0"/>
      <sz val="11"/>
    </font>
    <font>
      <name val="微软雅黑"/>
      <charset val="134"/>
      <family val="2"/>
      <b val="true"/>
      <color theme="1"/>
      <sz val="11"/>
    </font>
    <font>
      <name val="微软雅黑"/>
      <charset val="134"/>
      <family val="2"/>
      <color theme="1"/>
      <sz val="11"/>
    </font>
    <font>
      <name val="微软雅黑"/>
      <color theme="1"/>
      <sz val="11"/>
    </font>
    <font>
      <name val="微软雅黑"/>
      <charset val="134"/>
      <family val="2"/>
      <color rgb="FF000000"/>
      <sz val="11"/>
    </font>
    <font>
      <name val="微软雅黑"/>
      <charset val="134"/>
      <family val="2"/>
      <i val="true"/>
      <color theme="1"/>
      <sz val="11"/>
    </font>
    <font>
      <name val="等线"/>
      <charset val="134"/>
      <family val="2"/>
      <b val="true"/>
      <color rgb="FFFFFFFF"/>
    </font>
    <font>
      <name val="等线"/>
      <charset val="134"/>
      <family val="2"/>
      <b val="true"/>
      <color rgb="FFFFFFFF"/>
      <sz val="11"/>
    </font>
    <font>
      <name val="等线"/>
      <b val="true"/>
      <color rgb="FFFFFFFF"/>
      <sz val="11"/>
    </font>
    <font>
      <name val="等线"/>
      <b val="true"/>
      <color rgb="FFFFFFFF"/>
    </font>
    <font>
      <name val="等线"/>
    </font>
    <font>
      <name val="等线"/>
      <charset val="134"/>
      <family val="2"/>
    </font>
    <font>
      <name val="等线"/>
      <charset val="134"/>
      <family val="2"/>
      <sz val="11"/>
    </font>
    <font>
      <name val="等线"/>
      <sz val="11"/>
    </font>
    <font>
      <name val="等线"/>
      <charset val="134"/>
      <family val="2"/>
      <b val="true"/>
    </font>
    <font/>
    <font>
      <b val="true"/>
      <sz val="12"/>
    </font>
    <font>
      <b val="true"/>
      <sz val="9"/>
    </font>
    <font>
      <name val="微软雅黑"/>
      <charset val="134"/>
      <family val="2"/>
      <color theme="1"/>
      <sz val="8"/>
    </font>
    <font>
      <name val="Microsoft YaHei"/>
      <charset val="134"/>
      <family val="2"/>
      <b val="true"/>
      <color rgb="FFFFFFFF"/>
    </font>
    <font>
      <name val="Microsoft YaHei"/>
      <charset val="134"/>
      <family val="2"/>
      <b val="true"/>
      <color theme="1"/>
      <sz val="11"/>
    </font>
    <font>
      <name val="Microsoft YaHei"/>
      <charset val="134"/>
      <family val="2"/>
    </font>
    <font>
      <name val="Microsoft YaHei"/>
      <b val="true"/>
      <color theme="1"/>
      <sz val="11"/>
    </font>
    <font>
      <name val="Microsoft YaHei"/>
    </font>
    <font>
      <name val="微软雅黑"/>
      <b val="true"/>
      <color theme="1"/>
      <sz val="11"/>
    </font>
    <font>
      <name val="Microsoft YaHei"/>
      <b val="true"/>
    </font>
    <font>
      <name val="微软雅黑"/>
      <charset val="134"/>
      <family val="2"/>
      <b val="true"/>
      <color theme="1"/>
      <sz val="8"/>
    </font>
    <font>
      <name val="Microsoft YaHei"/>
      <b val="true"/>
      <color rgb="FFFFFFFF"/>
      <sz val="12"/>
    </font>
    <font>
      <name val="Microsoft YaHei"/>
      <sz val="11"/>
    </font>
    <font>
      <name val="Microsoft YaHei"/>
      <color rgb="FF191919"/>
      <sz val="11"/>
    </font>
    <font>
      <name val="等线"/>
      <charset val="134"/>
      <color theme="1"/>
      <sz val="11"/>
      <scheme val="minor"/>
    </font>
    <font>
      <name val="Arial"/>
      <family val="2"/>
      <sz val="10"/>
    </font>
    <font>
      <name val="等线"/>
      <charset val="134"/>
      <family val="3"/>
      <color theme="1"/>
      <sz val="11"/>
      <scheme val="minor"/>
    </font>
  </fonts>
  <fills count="39">
    <fill>
      <patternFill patternType="none"/>
    </fill>
    <fill>
      <patternFill patternType="gray125"/>
    </fill>
    <fill>
      <patternFill patternType="solid">
        <fgColor rgb="FF305496"/>
        <bgColor rgb="FFC0C0C0"/>
      </patternFill>
    </fill>
    <fill>
      <patternFill patternType="none"/>
    </fill>
    <fill>
      <patternFill patternType="solid">
        <fgColor rgb="FF002060"/>
        <bgColor indexed="64"/>
      </patternFill>
    </fill>
    <fill>
      <patternFill patternType="solid">
        <fgColor theme="8" tint="0.599994"/>
        <bgColor indexed="64"/>
      </patternFill>
    </fill>
    <fill>
      <patternFill patternType="solid">
        <fgColor theme="8" tint="0.599994"/>
        <bgColor indexed="64"/>
      </patternFill>
    </fill>
    <fill>
      <patternFill patternType="solid">
        <fgColor rgb="FF002060"/>
        <bgColor indexed="64"/>
      </patternFill>
    </fill>
    <fill>
      <patternFill patternType="solid">
        <fgColor rgb="FF002060"/>
        <bgColor auto="true"/>
      </patternFill>
    </fill>
    <fill>
      <patternFill patternType="solid">
        <fgColor rgb="FF1F4E79"/>
        <bgColor auto="true"/>
      </patternFill>
    </fill>
    <fill>
      <patternFill patternType="solid">
        <fgColor rgb="FF333F50"/>
        <bgColor auto="true"/>
      </patternFill>
    </fill>
    <fill>
      <patternFill patternType="solid">
        <fgColor rgb="FF8497B0"/>
        <bgColor auto="true"/>
      </patternFill>
    </fill>
    <fill>
      <patternFill patternType="solid">
        <fgColor rgb="FFED7D31"/>
        <bgColor auto="true"/>
      </patternFill>
    </fill>
    <fill>
      <patternFill patternType="solid">
        <fgColor rgb="FF2F5597"/>
        <bgColor auto="true"/>
      </patternFill>
    </fill>
    <fill>
      <patternFill patternType="solid">
        <fgColor rgb="FF8FAADC"/>
        <bgColor auto="true"/>
      </patternFill>
    </fill>
    <fill>
      <patternFill patternType="solid">
        <fgColor rgb="FFA5D8B4"/>
        <bgColor auto="true"/>
      </patternFill>
    </fill>
    <fill>
      <patternFill patternType="solid">
        <fgColor rgb="FF63BE7B"/>
        <bgColor auto="true"/>
      </patternFill>
    </fill>
    <fill>
      <patternFill patternType="solid">
        <fgColor rgb="FFD9EEE1"/>
        <bgColor auto="true"/>
      </patternFill>
    </fill>
    <fill>
      <patternFill patternType="solid">
        <fgColor rgb="FFEDF5F2"/>
        <bgColor auto="true"/>
      </patternFill>
    </fill>
    <fill>
      <patternFill patternType="solid">
        <fgColor rgb="FFF8696B"/>
        <bgColor auto="true"/>
      </patternFill>
    </fill>
    <fill>
      <patternFill patternType="solid">
        <fgColor rgb="FFFAB3B5"/>
        <bgColor auto="true"/>
      </patternFill>
    </fill>
    <fill>
      <patternFill patternType="solid">
        <fgColor rgb="FFFAC3C5"/>
        <bgColor auto="true"/>
      </patternFill>
    </fill>
    <fill>
      <patternFill patternType="solid">
        <fgColor rgb="FFFABBBE"/>
        <bgColor auto="true"/>
      </patternFill>
    </fill>
    <fill>
      <patternFill patternType="solid">
        <fgColor rgb="FFFCFCFF"/>
        <bgColor auto="true"/>
      </patternFill>
    </fill>
    <fill>
      <patternFill patternType="solid">
        <fgColor rgb="FFF88284"/>
        <bgColor auto="true"/>
      </patternFill>
    </fill>
    <fill>
      <patternFill patternType="solid">
        <fgColor rgb="FFCCE8D5"/>
        <bgColor auto="true"/>
      </patternFill>
    </fill>
    <fill>
      <patternFill patternType="solid">
        <fgColor theme="0" tint="-0.0499893"/>
        <bgColor indexed="64"/>
      </patternFill>
    </fill>
    <fill>
      <patternFill patternType="solid">
        <fgColor theme="0"/>
        <bgColor indexed="64"/>
      </patternFill>
    </fill>
    <fill>
      <patternFill patternType="solid">
        <fgColor rgb="FF4472C4"/>
        <bgColor rgb="FF000000"/>
      </patternFill>
    </fill>
    <fill>
      <patternFill patternType="solid">
        <fgColor rgb="FF4472C4"/>
        <bgColor rgb="FF000000"/>
      </patternFill>
    </fill>
    <fill/>
    <fill/>
    <fill/>
    <fill>
      <patternFill patternType="solid">
        <fgColor rgb="FFDEEBF7"/>
        <bgColor auto="true"/>
      </patternFill>
    </fill>
    <fill>
      <patternFill patternType="solid">
        <fgColor rgb="FFF2F2F2"/>
        <bgColor auto="true"/>
      </patternFill>
    </fill>
    <fill>
      <patternFill patternType="solid">
        <fgColor rgb="FFF2F2F2"/>
        <bgColor auto="true"/>
      </patternFill>
    </fill>
    <fill>
      <patternFill patternType="solid">
        <fgColor rgb="FF002060"/>
        <bgColor auto="true"/>
      </patternFill>
    </fill>
    <fill>
      <patternFill patternType="solid">
        <fgColor rgb="FF002060"/>
      </patternFill>
    </fill>
    <fill>
      <patternFill patternType="none"/>
    </fill>
  </fills>
  <borders count="92">
    <border>
      <left/>
      <right/>
      <top/>
      <bottom/>
      <diagonal/>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right/>
      <top/>
      <bottom/>
    </border>
    <border>
      <left style="thin">
        <color rgb="FF000000"/>
      </left>
      <right/>
      <top style="thin">
        <color rgb="FF000000"/>
      </top>
      <bottom style="thin">
        <color indexed="9"/>
      </bottom>
      <diagonal/>
    </border>
    <border>
      <left/>
      <right/>
      <top style="thin">
        <color rgb="FF000000"/>
      </top>
      <bottom style="thin">
        <color indexed="9"/>
      </bottom>
      <diagonal/>
    </border>
    <border>
      <left/>
      <right style="thin">
        <color rgb="FF000000"/>
      </right>
      <top style="thin">
        <color rgb="FF000000"/>
      </top>
      <bottom style="thin">
        <color indexed="9"/>
      </bottom>
      <diagonal/>
    </border>
    <border>
      <left style="thin">
        <color rgb="FF000000"/>
      </left>
      <right style="thin">
        <color indexed="9"/>
      </right>
      <top style="thin">
        <color indexed="9"/>
      </top>
      <bottom style="thin">
        <color indexed="9"/>
      </bottom>
      <diagonal/>
    </border>
    <border>
      <left style="thin">
        <color indexed="9"/>
      </left>
      <right style="thin">
        <color indexed="9"/>
      </right>
      <top style="thin">
        <color indexed="9"/>
      </top>
      <bottom style="thin">
        <color indexed="9"/>
      </bottom>
      <diagonal/>
    </border>
    <border>
      <left style="thin">
        <color indexed="9"/>
      </left>
      <right style="thin">
        <color rgb="FF000000"/>
      </right>
      <top style="thin">
        <color indexed="9"/>
      </top>
      <bottom style="thin">
        <color indexed="9"/>
      </bottom>
      <diagonal/>
    </border>
    <border>
      <left style="thin">
        <color rgb="FF000000"/>
      </left>
      <right/>
      <top/>
      <bottom/>
    </border>
    <border>
      <left/>
      <right style="thin">
        <color rgb="FF000000"/>
      </right>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bottom style="thin">
        <color indexed="9"/>
      </bottom>
      <diagonal/>
    </border>
    <border>
      <left/>
      <right/>
      <bottom style="thin">
        <color indexed="9"/>
      </bottom>
      <diagonal/>
    </border>
    <border>
      <left/>
      <right style="thin">
        <color rgb="FF000000"/>
      </right>
      <bottom style="thin">
        <color indexed="9"/>
      </bottom>
      <diagonal/>
    </border>
    <border>
      <left style="thin">
        <color rgb="FF000000"/>
      </left>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color indexed="9"/>
      </left>
      <right style="thin">
        <color rgb="FF000000"/>
      </right>
      <top style="thin">
        <color indexed="9"/>
      </top>
      <bottom style="thin">
        <color indexed="9"/>
      </bottom>
    </border>
    <border>
      <left style="thin">
        <color rgb="FF000000"/>
      </left>
      <top/>
      <bottom style="thin">
        <color indexed="9"/>
      </bottom>
    </border>
    <border>
      <top style="thin">
        <color rgb="FF000000"/>
      </top>
      <bottom style="thin">
        <color indexed="9"/>
      </bottom>
    </border>
    <border>
      <right style="thin">
        <color rgb="FF000000"/>
      </right>
      <top style="thin">
        <color rgb="FF000000"/>
      </top>
      <bottom style="thin">
        <color indexed="9"/>
      </bottom>
    </border>
    <border>
      <left style="thin">
        <color rgb="FF000000"/>
      </left>
      <right/>
      <top/>
    </border>
    <border>
      <left/>
      <right style="thin">
        <color rgb="FF000000"/>
      </right>
    </border>
    <border>
      <left style="thin">
        <color rgb="FF000000"/>
      </left>
      <bottom style="thin">
        <color indexed="9"/>
      </bottom>
    </border>
    <border/>
    <border diagonalUp="true" diagonalDown="true">
      <left style="thin">
        <color rgb="FF000000"/>
      </left>
      <right/>
      <top/>
      <bottom/>
      <diagonal/>
    </border>
    <border>
      <right style="thin">
        <color rgb="FF000000"/>
      </right>
    </border>
    <border>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000000"/>
      </left>
      <right style="thin">
        <color rgb="FF000000"/>
      </right>
      <bottom style="thin">
        <color rgb="FF000000"/>
      </bottom>
    </border>
    <border>
      <left style="thin">
        <color rgb="FF000000"/>
      </left>
      <right style="thin">
        <color rgb="FF000000"/>
      </right>
      <top style="thin">
        <color rgb="FFFFFFFF"/>
      </top>
      <bottom style="thin">
        <color rgb="FF000000"/>
      </bottom>
    </border>
    <border>
      <left style="thin">
        <color rgb="FF000000"/>
      </left>
      <right style="thin">
        <color rgb="FF000000"/>
      </right>
      <top style="medium">
        <color rgb="FF000000"/>
      </top>
      <bottom style="thin">
        <color rgb="FF000000"/>
      </bottom>
    </border>
    <border>
      <left style="thin">
        <color auto="true"/>
      </left>
      <right/>
      <top style="thin">
        <color auto="true"/>
      </top>
      <bottom/>
      <diagonal/>
    </border>
    <border>
      <left/>
      <right/>
      <top style="thin">
        <color auto="true"/>
      </top>
      <bottom/>
      <diagonal/>
    </border>
    <border>
      <top style="thin">
        <color auto="true"/>
      </top>
    </border>
    <border>
      <left/>
      <right style="thin">
        <color auto="true"/>
      </right>
      <top style="thin">
        <color auto="true"/>
      </top>
      <bottom/>
      <diagonal/>
    </border>
    <border>
      <left style="thin">
        <color auto="true"/>
      </left>
      <right/>
      <top/>
      <bottom/>
      <diagonal/>
    </border>
    <border>
      <left/>
      <right style="thin">
        <color auto="true"/>
      </right>
      <top/>
      <bottom/>
      <diagonal/>
    </border>
    <border>
      <left/>
      <right/>
      <top/>
      <bottom style="thin">
        <color auto="true"/>
      </bottom>
      <diagonal/>
    </border>
    <border>
      <left style="thin">
        <color auto="true"/>
      </left>
      <right/>
      <top/>
      <bottom style="thin">
        <color auto="true"/>
      </bottom>
      <diagonal/>
    </border>
    <border>
      <bottom style="thin">
        <color auto="true"/>
      </bottom>
    </border>
    <border>
      <left/>
      <right style="thin">
        <color indexed="64"/>
      </right>
      <top/>
      <bottom style="thin">
        <color indexed="64"/>
      </bottom>
      <diagonal/>
    </border>
    <border>
      <left/>
      <right/>
      <top/>
      <bottom/>
      <diagonal/>
    </border>
    <border>
      <left/>
      <right/>
      <top/>
      <bottom/>
      <diagonal/>
    </border>
    <border>
      <left/>
      <right/>
      <top/>
      <bottom/>
      <diagonal/>
    </border>
    <border>
      <left/>
      <right/>
      <top/>
      <bottom/>
      <diagonal/>
    </border>
    <border>
      <left/>
      <right/>
      <top/>
      <bottom/>
    </border>
    <border>
      <left/>
      <right/>
      <top/>
      <bottom/>
    </border>
    <border>
      <right/>
      <top/>
      <bottom/>
    </border>
    <border>
      <left/>
      <right/>
      <top/>
      <bottom/>
    </border>
    <border>
      <left/>
      <right/>
      <top style="thin">
        <color rgb="FF000000"/>
      </top>
      <bottom style="double">
        <color rgb="FF000000"/>
      </bottom>
    </border>
    <border>
      <left/>
      <right/>
      <bottom/>
    </border>
    <border>
      <left style="medium">
        <color rgb="FF000000"/>
      </left>
      <right style="medium">
        <color rgb="FF000000"/>
      </right>
      <top style="medium">
        <color rgb="FF000000"/>
      </top>
      <bottom style="medium">
        <color rgb="FF000000"/>
      </bottom>
    </border>
    <border>
      <left/>
      <right/>
      <top/>
    </border>
    <border>
      <left style="dotted">
        <color rgb="FFC00000"/>
      </left>
      <right style="dotted">
        <color rgb="FFC00000"/>
      </right>
      <top style="dotted">
        <color rgb="FFC00000"/>
      </top>
      <bottom style="dotted">
        <color rgb="FFC00000"/>
      </bottom>
    </border>
    <border>
      <left/>
    </border>
    <border>
      <left style="thin">
        <color rgb="FF000000"/>
      </left>
      <right/>
      <top style="thin">
        <color rgb="FF000000"/>
      </top>
      <bottom style="dotted">
        <color rgb="FF000000"/>
      </bottom>
    </border>
    <border>
      <left/>
      <right/>
      <top style="thin">
        <color rgb="FF000000"/>
      </top>
      <bottom style="dotted">
        <color rgb="FF000000"/>
      </bottom>
    </border>
    <border>
      <left/>
      <right style="thin">
        <color rgb="FF000000"/>
      </right>
      <top style="thin">
        <color rgb="FF000000"/>
      </top>
      <bottom style="dotted">
        <color rgb="FF000000"/>
      </bottom>
    </border>
    <border>
      <left style="dotted">
        <color rgb="FF000000"/>
      </left>
      <right/>
      <top style="dotted">
        <color rgb="FF000000"/>
      </top>
      <bottom style="dotted">
        <color rgb="FF000000"/>
      </bottom>
    </border>
    <border>
      <left/>
      <right/>
      <top style="dotted">
        <color rgb="FF000000"/>
      </top>
      <bottom style="dotted">
        <color rgb="FF000000"/>
      </bottom>
    </border>
    <border>
      <left/>
      <right style="dotted">
        <color rgb="FF000000"/>
      </right>
      <top style="dotted">
        <color rgb="FF000000"/>
      </top>
      <bottom style="dotted">
        <color rgb="FF000000"/>
      </bottom>
    </border>
    <border>
      <left style="thin">
        <color rgb="FF000000"/>
      </left>
      <right/>
      <top style="dotted">
        <color rgb="FF000000"/>
      </top>
      <bottom/>
    </border>
    <border>
      <left/>
      <right/>
      <top style="dotted">
        <color rgb="FF000000"/>
      </top>
      <bottom/>
    </border>
    <border>
      <left/>
      <right style="thin">
        <color rgb="FF000000"/>
      </right>
      <top style="dotted">
        <color rgb="FF000000"/>
      </top>
      <bottom/>
    </border>
    <border>
      <left style="thin">
        <color rgb="FF000000"/>
      </left>
      <right/>
      <top/>
      <bottom/>
    </border>
    <border>
      <left/>
      <right style="thin">
        <color rgb="FF000000"/>
      </right>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dotted">
        <color auto="true"/>
      </left>
      <right style="dotted">
        <color auto="true"/>
      </right>
      <top style="dotted">
        <color auto="true"/>
      </top>
      <bottom style="dotted">
        <color auto="true"/>
      </bottom>
    </border>
    <border>
      <left style="thin">
        <color indexed="64"/>
      </left>
      <right style="thin">
        <color rgb="FF000000"/>
      </right>
      <top style="thin">
        <color indexed="64"/>
      </top>
      <diagonal/>
    </border>
    <border>
      <left style="thin">
        <color indexed="64"/>
      </left>
      <right style="thin">
        <color rgb="FF000000"/>
      </right>
      <bottom style="thin">
        <color indexed="64"/>
      </bottom>
      <diagonal/>
    </border>
    <border>
      <left style="thin">
        <color rgb="FF000000"/>
      </left>
      <right style="thin">
        <color rgb="FF000000"/>
      </right>
    </border>
    <border>
      <left style="dotted">
        <color auto="true"/>
      </left>
      <right/>
      <top style="dotted">
        <color auto="true"/>
      </top>
      <bottom/>
      <diagonal/>
    </border>
    <border>
      <left/>
      <right style="dotted">
        <color auto="true"/>
      </right>
      <top style="dotted">
        <color auto="true"/>
      </top>
      <bottom/>
      <diagonal/>
    </border>
    <border>
      <left style="thin">
        <color indexed="64"/>
      </left>
      <right/>
      <top style="thin">
        <color indexed="64"/>
      </top>
      <bottom style="thin">
        <color indexed="9"/>
      </bottom>
      <diagonal/>
    </border>
    <border>
      <left/>
      <right style="thin">
        <color indexed="64"/>
      </right>
      <top style="thin">
        <color indexed="64"/>
      </top>
      <bottom style="thin">
        <color indexed="9"/>
      </bottom>
      <diagonal/>
    </border>
    <border>
      <left/>
      <top/>
      <bottom/>
      <diagonal/>
    </border>
    <border>
      <left style="thin">
        <color indexed="64"/>
      </left>
      <right style="thin">
        <color indexed="64"/>
      </right>
      <top style="thin">
        <color indexed="64"/>
      </top>
      <bottom style="thin">
        <color indexed="64"/>
      </bottom>
      <diagonal/>
    </border>
    <border>
      <left style="thin">
        <color indexed="64"/>
      </lef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top style="thin">
        <color rgb="FF000000"/>
      </top>
      <bottom style="thin">
        <color rgb="FF000000"/>
      </bottom>
      <diagonal/>
    </border>
    <border>
      <top style="thin">
        <color rgb="FF000000"/>
      </top>
      <bottom style="thin">
        <color rgb="FF000000"/>
      </bottom>
    </border>
    <border>
      <right style="thin">
        <color rgb="FF000000"/>
      </right>
      <top style="thin">
        <color rgb="FF000000"/>
      </top>
      <bottom style="thin">
        <color rgb="FF000000"/>
      </bottom>
    </border>
    <border>
      <right style="thin">
        <color rgb="FF000000"/>
      </right>
      <top style="thin">
        <color rgb="FF000000"/>
      </top>
      <bottom style="thin">
        <color rgb="FF000000"/>
      </bottom>
    </border>
    <border>
      <left/>
      <right/>
      <top/>
      <bottom/>
      <diagonal/>
    </border>
  </borders>
  <cellStyleXfs>
    <xf numFmtId="310" fontId="54" fillId="0" borderId="91" xfId="0"/>
    <xf numFmtId="310" fontId="55" fillId="3" borderId="91" xfId="0"/>
    <xf numFmtId="310" fontId="56" fillId="3" borderId="91" xfId="0"/>
  </cellStyleXfs>
  <cellXfs count="385">
    <xf numFmtId="0" fontId="0" fillId="0" borderId="0" xfId="0">
      <alignment vertical="center"/>
    </xf>
    <xf numFmtId="0" fontId="1" fillId="0" borderId="0" xfId="0">
      <alignment vertical="center"/>
    </xf>
    <xf numFmtId="0" fontId="2" fillId="0" borderId="0" xfId="0">
      <alignment horizontal="center" vertical="center"/>
    </xf>
    <xf fontId="0" fillId="0" borderId="0" xfId="0"/>
    <xf fontId="3" fillId="0" borderId="0" xfId="0">
      <alignment horizontal="center" vertical="center"/>
    </xf>
    <xf fontId="3" fillId="0" borderId="0" xfId="0">
      <alignment horizontal="center" vertical="center" wrapText="true"/>
    </xf>
    <xf fontId="4" fillId="2" borderId="1" xfId="0">
      <alignment horizontal="center" vertical="center" wrapText="true"/>
    </xf>
    <xf fontId="0" fillId="0" borderId="1" xfId="0"/>
    <xf fontId="4" fillId="2" borderId="2" xfId="0">
      <alignment horizontal="center" vertical="center" wrapText="true"/>
    </xf>
    <xf fontId="0" fillId="0" borderId="2" xfId="0"/>
    <xf fontId="4" fillId="2" borderId="3" xfId="0">
      <alignment horizontal="center" vertical="center" wrapText="true"/>
    </xf>
    <xf fontId="0" fillId="0" borderId="3" xfId="0"/>
    <xf numFmtId="49" fontId="5" fillId="0" borderId="3" xfId="0">
      <alignment horizontal="center" vertical="center"/>
    </xf>
    <xf numFmtId="49" fontId="5" fillId="0" borderId="4" xfId="0">
      <alignment horizontal="center" vertical="center"/>
    </xf>
    <xf numFmtId="49" fontId="5" fillId="0" borderId="3" xfId="0">
      <alignment horizontal="center" vertical="center" wrapText="true"/>
    </xf>
    <xf numFmtId="300" fontId="5" fillId="0" borderId="3" xfId="0">
      <alignment horizontal="center" vertical="center"/>
    </xf>
    <xf numFmtId="301" fontId="6" fillId="0" borderId="3" xfId="0">
      <alignment horizontal="center" vertical="center" wrapText="true"/>
    </xf>
    <xf numFmtId="301" fontId="6" fillId="0" borderId="3" xfId="0">
      <alignment horizontal="center" vertical="center"/>
    </xf>
    <xf numFmtId="302" fontId="6" fillId="0" borderId="3" xfId="0">
      <alignment horizontal="center" vertical="center" wrapText="true"/>
    </xf>
    <xf numFmtId="302" fontId="5" fillId="0" borderId="3" xfId="0">
      <alignment horizontal="center" vertical="center"/>
    </xf>
    <xf numFmtId="301" fontId="5" fillId="0" borderId="3" xfId="0">
      <alignment horizontal="center" vertical="center"/>
    </xf>
    <xf numFmtId="27" fontId="7" fillId="3" borderId="91" xfId="1" applyNumberFormat="true" applyFont="true" applyFill="true" applyAlignment="true">
      <alignment horizontal="left"/>
    </xf>
    <xf numFmtId="0" fontId="55" fillId="3" borderId="5" xfId="1" applyNumberFormat="true" applyFill="true" applyBorder="true"/>
    <xf numFmtId="27" fontId="8" fillId="4" borderId="6" xfId="1" applyNumberFormat="true" applyFont="true" applyFill="true" applyBorder="true" applyAlignment="true">
      <alignment horizontal="center"/>
    </xf>
    <xf numFmtId="310" fontId="9" fillId="4" borderId="7" xfId="1" applyFont="true" applyFill="true" applyBorder="true" applyAlignment="true">
      <alignment horizontal="center"/>
    </xf>
    <xf numFmtId="310" fontId="9" fillId="4" borderId="8" xfId="1" applyFont="true" applyFill="true" applyBorder="true" applyAlignment="true">
      <alignment horizontal="center"/>
    </xf>
    <xf numFmtId="310" fontId="7" fillId="5" borderId="9" xfId="1" applyFont="true" applyFill="true" applyBorder="true" applyAlignment="true">
      <alignment horizontal="center" vertical="center" wrapText="true"/>
    </xf>
    <xf numFmtId="310" fontId="10" fillId="5" borderId="10" xfId="1" applyFont="true" applyFill="true" applyBorder="true" applyAlignment="true">
      <alignment horizontal="center" vertical="center" wrapText="true"/>
    </xf>
    <xf numFmtId="310" fontId="10" fillId="5" borderId="11" xfId="1" applyFont="true" applyFill="true" applyBorder="true" applyAlignment="true">
      <alignment horizontal="center" vertical="center" wrapText="true"/>
    </xf>
    <xf numFmtId="310" fontId="7" fillId="3" borderId="12" xfId="1" applyFont="true" applyBorder="true" applyAlignment="true">
      <alignment horizontal="center"/>
    </xf>
    <xf numFmtId="310" fontId="11" fillId="3" borderId="91" xfId="1" applyFont="true" applyAlignment="true">
      <alignment horizontal="center" vertical="center" wrapText="true"/>
    </xf>
    <xf numFmtId="310" fontId="11" fillId="3" borderId="13" xfId="1" applyFont="true" applyBorder="true" applyAlignment="true">
      <alignment horizontal="center" vertical="center" wrapText="true"/>
    </xf>
    <xf numFmtId="310" fontId="7" fillId="3" borderId="14" xfId="1" applyFont="true" applyBorder="true" applyAlignment="true">
      <alignment horizontal="center"/>
    </xf>
    <xf numFmtId="310" fontId="11" fillId="3" borderId="15" xfId="1" applyFont="true" applyBorder="true" applyAlignment="true">
      <alignment horizontal="center" vertical="center" wrapText="true"/>
    </xf>
    <xf numFmtId="310" fontId="11" fillId="3" borderId="16" xfId="1" applyFont="true" applyBorder="true" applyAlignment="true">
      <alignment horizontal="center" vertical="center" wrapText="true"/>
    </xf>
    <xf numFmtId="27" fontId="8" fillId="4" borderId="17" xfId="1" applyNumberFormat="true" applyFont="true" applyFill="true" applyBorder="true" applyAlignment="true">
      <alignment horizontal="center"/>
    </xf>
    <xf numFmtId="310" fontId="9" fillId="4" borderId="18" xfId="1" applyFont="true" applyFill="true" applyBorder="true" applyAlignment="true">
      <alignment horizontal="center"/>
    </xf>
    <xf numFmtId="310" fontId="9" fillId="4" borderId="19" xfId="1" applyFont="true" applyFill="true" applyBorder="true" applyAlignment="true">
      <alignment horizontal="center"/>
    </xf>
    <xf numFmtId="310" fontId="12" fillId="6" borderId="20" xfId="1" applyFont="true" applyFill="true" applyBorder="true" applyAlignment="true">
      <alignment horizontal="center" vertical="center" wrapText="true"/>
    </xf>
    <xf numFmtId="310" fontId="13" fillId="6" borderId="21" xfId="1" applyFont="true" applyFill="true" applyBorder="true" applyAlignment="true">
      <alignment horizontal="center" vertical="center" wrapText="true"/>
    </xf>
    <xf numFmtId="310" fontId="13" fillId="6" borderId="22" xfId="1" applyFont="true" applyFill="true" applyBorder="true" applyAlignment="true">
      <alignment horizontal="center" vertical="center" wrapText="true"/>
    </xf>
    <xf numFmtId="310" fontId="7" fillId="3" borderId="12" xfId="1" applyFont="true" applyBorder="true" applyAlignment="true">
      <alignment horizontal="center" vertical="bottom"/>
    </xf>
    <xf numFmtId="310" fontId="7" fillId="3" borderId="14" xfId="1" applyFont="true" applyBorder="true" applyAlignment="true">
      <alignment horizontal="center" vertical="bottom"/>
    </xf>
    <xf numFmtId="27" fontId="8" fillId="7" borderId="23" xfId="1" applyNumberFormat="true" applyFont="true" applyFill="true" applyBorder="true" applyAlignment="true">
      <alignment horizontal="center"/>
    </xf>
    <xf numFmtId="0" fontId="9" fillId="7" borderId="24" xfId="1" applyNumberFormat="true" applyFont="true" applyFill="true" applyBorder="true" applyAlignment="true">
      <alignment horizontal="center"/>
    </xf>
    <xf numFmtId="0" fontId="9" fillId="7" borderId="25" xfId="1" applyNumberFormat="true" applyFont="true" applyFill="true" applyBorder="true" applyAlignment="true">
      <alignment horizontal="center"/>
    </xf>
    <xf numFmtId="0" fontId="55" fillId="3" borderId="91" xfId="1" applyNumberFormat="true" applyFill="true"/>
    <xf numFmtId="310" fontId="7" fillId="3" borderId="12" xfId="1" applyFont="true" applyBorder="true" applyAlignment="true">
      <alignment horizontal="center" vertical="bottom" wrapText="true"/>
    </xf>
    <xf numFmtId="310" fontId="7" fillId="3" borderId="26" xfId="1" applyFont="true" applyBorder="true" applyAlignment="true">
      <alignment horizontal="center" vertical="bottom"/>
    </xf>
    <xf numFmtId="310" fontId="11" fillId="3" borderId="27" xfId="1" applyFont="true" applyBorder="true" applyAlignment="true">
      <alignment horizontal="center" vertical="center" wrapText="true"/>
    </xf>
    <xf numFmtId="27" fontId="8" fillId="4" borderId="28" xfId="1" applyNumberFormat="true" applyFont="true" applyFill="true" applyBorder="true" applyAlignment="true">
      <alignment horizontal="center"/>
    </xf>
    <xf numFmtId="0" fontId="9" fillId="4" borderId="24" xfId="1" applyNumberFormat="true" applyFont="true" applyFill="true" applyBorder="true" applyAlignment="true">
      <alignment horizontal="center"/>
    </xf>
    <xf numFmtId="0" fontId="9" fillId="4" borderId="25" xfId="1" applyNumberFormat="true" applyFont="true" applyFill="true" applyBorder="true" applyAlignment="true">
      <alignment horizontal="center"/>
    </xf>
    <xf numFmtId="0" fontId="55" fillId="3" borderId="29" xfId="1" applyNumberFormat="true" applyFill="true" applyBorder="true"/>
    <xf numFmtId="27" fontId="14" fillId="4" borderId="28" xfId="1" applyNumberFormat="true" applyFont="true" applyFill="true" applyBorder="true" applyAlignment="true">
      <alignment horizontal="center"/>
    </xf>
    <xf numFmtId="0" fontId="15" fillId="4" borderId="24" xfId="1" applyNumberFormat="true" applyFont="true" applyFill="true" applyBorder="true" applyAlignment="true">
      <alignment horizontal="center"/>
    </xf>
    <xf numFmtId="0" fontId="15" fillId="4" borderId="25" xfId="1" applyNumberFormat="true" applyFont="true" applyFill="true" applyBorder="true" applyAlignment="true">
      <alignment horizontal="center"/>
    </xf>
    <xf numFmtId="310" fontId="12" fillId="3" borderId="30" xfId="1" applyFont="true" applyBorder="true" applyAlignment="true">
      <alignment horizontal="center" vertical="bottom" wrapText="true"/>
    </xf>
    <xf numFmtId="310" fontId="16" fillId="3" borderId="91" xfId="1" applyFont="true" applyAlignment="true">
      <alignment horizontal="center" vertical="center" textRotation="0" wrapText="true"/>
    </xf>
    <xf numFmtId="310" fontId="16" fillId="3" borderId="31" xfId="1" applyFont="true" applyBorder="true" applyAlignment="true">
      <alignment horizontal="center" vertical="center" textRotation="0" wrapText="true"/>
    </xf>
    <xf fontId="17" fillId="8" borderId="0" xfId="0">
      <alignment horizontal="center" vertical="center"/>
    </xf>
    <xf fontId="17" fillId="8" borderId="0" xfId="0">
      <alignment vertical="center"/>
    </xf>
    <xf fontId="17" fillId="8" borderId="0" xfId="0">
      <alignment vertical="top" wrapText="true"/>
    </xf>
    <xf fontId="17" fillId="8" borderId="0" xfId="0">
      <alignment vertical="center" wrapText="true"/>
    </xf>
    <xf fontId="17" fillId="9" borderId="32" xfId="0">
      <alignment horizontal="center" vertical="center" textRotation="0" indent="0" justifyLastLine="false" shrinkToFit="false"/>
    </xf>
    <xf fontId="0" fillId="0" borderId="32" xfId="0"/>
    <xf fontId="17" fillId="9" borderId="33" xfId="0">
      <alignment horizontal="center" vertical="center"/>
    </xf>
    <xf fontId="17" fillId="10" borderId="33" xfId="0">
      <alignment horizontal="center" vertical="center" textRotation="0" indent="0" justifyLastLine="false" shrinkToFit="false"/>
    </xf>
    <xf fontId="0" fillId="0" borderId="33" xfId="0"/>
    <xf fontId="17" fillId="11" borderId="33" xfId="0">
      <alignment horizontal="center" vertical="center" textRotation="0" indent="0" justifyLastLine="false" shrinkToFit="false"/>
    </xf>
    <xf fontId="17" fillId="12" borderId="33" xfId="0">
      <alignment horizontal="center" vertical="center" textRotation="0" indent="0" justifyLastLine="false" shrinkToFit="false"/>
    </xf>
    <xf fontId="17" fillId="13" borderId="33" xfId="0">
      <alignment horizontal="center" vertical="center" textRotation="0" indent="0" justifyLastLine="false" shrinkToFit="false"/>
    </xf>
    <xf fontId="17" fillId="14" borderId="33" xfId="0">
      <alignment horizontal="center" vertical="center" textRotation="0" indent="0" justifyLastLine="false" shrinkToFit="false"/>
    </xf>
    <xf fontId="17" fillId="8" borderId="33" xfId="0">
      <alignment horizontal="center" vertical="center"/>
    </xf>
    <xf fontId="17" fillId="8" borderId="33" xfId="0">
      <alignment horizontal="center" vertical="center" textRotation="0" wrapText="true" indent="0" justifyLastLine="false" shrinkToFit="false"/>
    </xf>
    <xf fontId="18" fillId="8" borderId="33" xfId="0">
      <alignment horizontal="center" vertical="center" textRotation="0" wrapText="true" indent="0" justifyLastLine="false" shrinkToFit="false"/>
    </xf>
    <xf fontId="0" fillId="0" borderId="34" xfId="0">
      <alignment horizontal="center" vertical="center" textRotation="0" wrapText="true" indent="0" justifyLastLine="false" shrinkToFit="false"/>
    </xf>
    <xf fontId="0" fillId="0" borderId="34" xfId="0">
      <alignment vertical="center" textRotation="0" wrapText="true" indent="0" justifyLastLine="false" shrinkToFit="false"/>
    </xf>
    <xf fontId="19" fillId="0" borderId="34" xfId="0">
      <alignment horizontal="center" vertical="center" textRotation="0" wrapText="true" indent="0" justifyLastLine="false" shrinkToFit="false"/>
    </xf>
    <xf numFmtId="14" fontId="0" fillId="0" borderId="34" xfId="0">
      <alignment horizontal="center" vertical="center" textRotation="0" wrapText="true" indent="0" justifyLastLine="false" shrinkToFit="false"/>
    </xf>
    <xf numFmtId="303" fontId="0" fillId="0" borderId="35" xfId="0">
      <alignment horizontal="right" vertical="center" textRotation="0" wrapText="true" indent="0" justifyLastLine="false" shrinkToFit="false"/>
    </xf>
    <xf fontId="20" fillId="0" borderId="34" xfId="0">
      <alignment vertical="top" textRotation="0" wrapText="true" indent="0" justifyLastLine="false" shrinkToFit="false"/>
    </xf>
    <xf fontId="21" fillId="0" borderId="34" xfId="0">
      <alignment vertical="top" textRotation="0" wrapText="true" indent="0" justifyLastLine="false" shrinkToFit="false"/>
    </xf>
    <xf numFmtId="2" fontId="0" fillId="0" borderId="34" xfId="0">
      <alignment horizontal="right" vertical="center" textRotation="0" wrapText="true" indent="0" justifyLastLine="false" shrinkToFit="false"/>
    </xf>
    <xf numFmtId="4" fontId="0" fillId="15" borderId="35" xfId="0">
      <alignment horizontal="right" vertical="center" textRotation="0" wrapText="true" indent="0" justifyLastLine="false" shrinkToFit="false"/>
    </xf>
    <xf numFmtId="4" fontId="22" fillId="0" borderId="34" xfId="0">
      <alignment horizontal="left" vertical="center" textRotation="0" indent="0" justifyLastLine="false" shrinkToFit="false"/>
    </xf>
    <xf numFmtId="2" fontId="22" fillId="0" borderId="34" xfId="0">
      <alignment horizontal="right" vertical="center" textRotation="0" wrapText="true" indent="0" justifyLastLine="false" shrinkToFit="false"/>
    </xf>
    <xf numFmtId="10" fontId="22" fillId="0" borderId="34" xfId="0">
      <alignment horizontal="right" vertical="top" textRotation="0" wrapText="true" indent="0" justifyLastLine="false" shrinkToFit="false"/>
    </xf>
    <xf numFmtId="4" fontId="0" fillId="0" borderId="35" xfId="0">
      <alignment horizontal="right" vertical="center" textRotation="0" wrapText="true" indent="0" justifyLastLine="false" shrinkToFit="false"/>
    </xf>
    <xf fontId="0" fillId="0" borderId="34" xfId="0"/>
    <xf fontId="0" fillId="0" borderId="35" xfId="0"/>
    <xf numFmtId="4" fontId="0" fillId="0" borderId="3" xfId="0">
      <alignment horizontal="left" vertical="center" textRotation="0" indent="0" justifyLastLine="false" shrinkToFit="false"/>
    </xf>
    <xf numFmtId="2" fontId="0" fillId="0" borderId="3" xfId="0">
      <alignment horizontal="right" vertical="center" textRotation="0" wrapText="true" indent="0" justifyLastLine="false" shrinkToFit="false"/>
    </xf>
    <xf numFmtId="10" fontId="0" fillId="0" borderId="3" xfId="0">
      <alignment horizontal="right" vertical="top" textRotation="0" wrapText="true" indent="0" justifyLastLine="false" shrinkToFit="false"/>
    </xf>
    <xf numFmtId="4" fontId="0" fillId="0" borderId="4" xfId="0">
      <alignment horizontal="left" vertical="center" textRotation="0" indent="0" justifyLastLine="false" shrinkToFit="false"/>
    </xf>
    <xf numFmtId="2" fontId="0" fillId="0" borderId="4" xfId="0">
      <alignment horizontal="right" vertical="center" textRotation="0" wrapText="true" indent="0" justifyLastLine="false" shrinkToFit="false"/>
    </xf>
    <xf numFmtId="10" fontId="0" fillId="0" borderId="4" xfId="0">
      <alignment horizontal="right" vertical="top" textRotation="0" wrapText="true" indent="0" justifyLastLine="false" shrinkToFit="false"/>
    </xf>
    <xf fontId="0" fillId="0" borderId="3" xfId="0">
      <alignment horizontal="center" vertical="center" textRotation="0" wrapText="true" indent="0" justifyLastLine="false" shrinkToFit="false"/>
    </xf>
    <xf fontId="0" fillId="0" borderId="3" xfId="0">
      <alignment vertical="center" textRotation="0" indent="0" justifyLastLine="false" shrinkToFit="false"/>
    </xf>
    <xf fontId="19" fillId="0" borderId="3" xfId="0">
      <alignment horizontal="center" vertical="center" textRotation="0" indent="0" justifyLastLine="false" shrinkToFit="false"/>
    </xf>
    <xf fontId="0" fillId="0" borderId="3" xfId="0">
      <alignment horizontal="center" vertical="center" textRotation="0" indent="0" justifyLastLine="false" shrinkToFit="false"/>
    </xf>
    <xf numFmtId="14" fontId="0" fillId="0" borderId="3" xfId="0">
      <alignment horizontal="center" vertical="center" textRotation="0" indent="0" justifyLastLine="false" shrinkToFit="false"/>
    </xf>
    <xf fontId="20" fillId="0" borderId="3" xfId="0">
      <alignment vertical="top" textRotation="0" wrapText="true" indent="0" justifyLastLine="false" shrinkToFit="false"/>
    </xf>
    <xf fontId="0" fillId="0" borderId="3" xfId="0">
      <alignment vertical="center" textRotation="0" wrapText="true" indent="0" justifyLastLine="false" shrinkToFit="false"/>
    </xf>
    <xf numFmtId="2" fontId="0" fillId="0" borderId="3" xfId="0">
      <alignment horizontal="right" vertical="center" textRotation="0" indent="0" justifyLastLine="false" shrinkToFit="false"/>
    </xf>
    <xf numFmtId="2" fontId="0" fillId="16" borderId="3" xfId="0">
      <alignment horizontal="right" vertical="center" textRotation="0" indent="0" justifyLastLine="false" shrinkToFit="false"/>
    </xf>
    <xf numFmtId="4" fontId="22" fillId="0" borderId="36" xfId="0">
      <alignment horizontal="left" vertical="center" textRotation="0" indent="0" justifyLastLine="false" shrinkToFit="false"/>
    </xf>
    <xf numFmtId="2" fontId="22" fillId="0" borderId="36" xfId="0">
      <alignment horizontal="right" vertical="center" textRotation="0" wrapText="true" indent="0" justifyLastLine="false" shrinkToFit="false"/>
    </xf>
    <xf numFmtId="10" fontId="22" fillId="0" borderId="36" xfId="0">
      <alignment horizontal="right" vertical="top" textRotation="0" wrapText="true" indent="0" justifyLastLine="false" shrinkToFit="false"/>
    </xf>
    <xf numFmtId="4" fontId="22" fillId="0" borderId="3" xfId="0">
      <alignment horizontal="left" vertical="center" textRotation="0" indent="0" justifyLastLine="false" shrinkToFit="false"/>
    </xf>
    <xf numFmtId="2" fontId="22" fillId="0" borderId="3" xfId="0">
      <alignment horizontal="right" vertical="center" textRotation="0" wrapText="true" indent="0" justifyLastLine="false" shrinkToFit="false"/>
    </xf>
    <xf numFmtId="10" fontId="22" fillId="0" borderId="3" xfId="0">
      <alignment horizontal="right" vertical="top" textRotation="0" wrapText="true" indent="0" justifyLastLine="false" shrinkToFit="false"/>
    </xf>
    <xf numFmtId="2" fontId="0" fillId="0" borderId="4" xfId="0">
      <alignment horizontal="right" vertical="center" wrapText="true"/>
    </xf>
    <xf numFmtId="10" fontId="0" fillId="0" borderId="4" xfId="0">
      <alignment horizontal="right" vertical="top" wrapText="true"/>
    </xf>
    <xf numFmtId="14" fontId="0" fillId="0" borderId="3" xfId="0">
      <alignment horizontal="center" vertical="center" textRotation="0" justifyLastLine="false" shrinkToFit="false"/>
    </xf>
    <xf fontId="0" fillId="0" borderId="3" xfId="0">
      <alignment vertical="top" textRotation="0" wrapText="true" indent="0" justifyLastLine="false" shrinkToFit="false"/>
    </xf>
    <xf fontId="21" fillId="0" borderId="3" xfId="0">
      <alignment vertical="center" textRotation="0" wrapText="true" indent="0" justifyLastLine="false" shrinkToFit="false"/>
    </xf>
    <xf numFmtId="2" fontId="0" fillId="17" borderId="3" xfId="0">
      <alignment horizontal="right" vertical="center" textRotation="0" indent="0" justifyLastLine="false" shrinkToFit="false"/>
    </xf>
    <xf numFmtId="2" fontId="0" fillId="18" borderId="3" xfId="0">
      <alignment horizontal="right" vertical="center" textRotation="0" indent="0" justifyLastLine="false" shrinkToFit="false"/>
    </xf>
    <xf fontId="21" fillId="0" borderId="3" xfId="0">
      <alignment vertical="top" textRotation="0" wrapText="true" indent="0" justifyLastLine="false" shrinkToFit="false"/>
    </xf>
    <xf numFmtId="2" fontId="0" fillId="19" borderId="3" xfId="0">
      <alignment horizontal="right" vertical="center" textRotation="0" indent="0" justifyLastLine="false" shrinkToFit="false"/>
    </xf>
    <xf numFmtId="2" fontId="0" fillId="20" borderId="3" xfId="0">
      <alignment horizontal="right" vertical="center" textRotation="0" indent="0" justifyLastLine="false" shrinkToFit="false"/>
    </xf>
    <xf numFmtId="2" fontId="0" fillId="21" borderId="3" xfId="0">
      <alignment horizontal="right" vertical="center" textRotation="0" indent="0" justifyLastLine="false" shrinkToFit="false"/>
    </xf>
    <xf numFmtId="4" fontId="21" fillId="0" borderId="3" xfId="0">
      <alignment horizontal="left" vertical="center" textRotation="0" indent="0" justifyLastLine="false" shrinkToFit="false"/>
    </xf>
    <xf numFmtId="2" fontId="0" fillId="22" borderId="3" xfId="0">
      <alignment horizontal="right" vertical="center" textRotation="0" indent="0" justifyLastLine="false" shrinkToFit="false"/>
    </xf>
    <xf numFmtId="2" fontId="0" fillId="23" borderId="3" xfId="0">
      <alignment horizontal="right" vertical="center" textRotation="0" indent="0" justifyLastLine="false" shrinkToFit="false"/>
    </xf>
    <xf numFmtId="2" fontId="0" fillId="24" borderId="3" xfId="0">
      <alignment horizontal="right" vertical="center" textRotation="0" indent="0" justifyLastLine="false" shrinkToFit="false"/>
    </xf>
    <xf numFmtId="304" fontId="0" fillId="0" borderId="3" xfId="0">
      <alignment horizontal="center" vertical="center" textRotation="0" indent="0" justifyLastLine="false" shrinkToFit="false"/>
    </xf>
    <xf numFmtId="2" fontId="0" fillId="0" borderId="3" xfId="0">
      <alignment horizontal="center" vertical="center" textRotation="0" indent="0" justifyLastLine="false" shrinkToFit="false"/>
    </xf>
    <xf numFmtId="2" fontId="0" fillId="25" borderId="3" xfId="0">
      <alignment horizontal="right" vertical="center" textRotation="0" indent="0" justifyLastLine="false" shrinkToFit="false"/>
    </xf>
    <xf fontId="0" fillId="0" borderId="3" xfId="0">
      <alignment horizontal="center" vertical="center"/>
    </xf>
    <xf fontId="0" fillId="0" borderId="3" xfId="0">
      <alignment vertical="center"/>
    </xf>
    <xf fontId="19" fillId="0" borderId="3" xfId="0">
      <alignment horizontal="center" vertical="center"/>
    </xf>
    <xf fontId="0" fillId="0" borderId="3" xfId="0">
      <alignment vertical="top" wrapText="true"/>
    </xf>
    <xf fontId="0" fillId="0" borderId="3" xfId="0">
      <alignment vertical="center" wrapText="true"/>
    </xf>
    <xf numFmtId="4" fontId="22" fillId="0" borderId="36" xfId="0">
      <alignment vertical="center"/>
    </xf>
    <xf numFmtId="2" fontId="22" fillId="0" borderId="36" xfId="0">
      <alignment horizontal="right" vertical="center" wrapText="true"/>
    </xf>
    <xf numFmtId="10" fontId="22" fillId="0" borderId="36" xfId="0">
      <alignment horizontal="right" vertical="top" wrapText="true"/>
    </xf>
    <xf numFmtId="2" fontId="0" fillId="0" borderId="3" xfId="0">
      <alignment vertical="center"/>
    </xf>
    <xf numFmtId="10" fontId="0" fillId="0" borderId="3" xfId="0">
      <alignment horizontal="right" vertical="top" wrapText="true"/>
    </xf>
    <xf numFmtId="310" fontId="23" fillId="4" borderId="37" xfId="2" applyFont="true" applyFill="true" applyBorder="true" applyAlignment="true">
      <alignment horizontal="center" vertical="center"/>
    </xf>
    <xf numFmtId="310" fontId="23" fillId="4" borderId="38" xfId="2" applyFont="true" applyFill="true" applyBorder="true" applyAlignment="true">
      <alignment horizontal="center" vertical="center"/>
    </xf>
    <xf numFmtId="0" fontId="23" fillId="4" borderId="38" xfId="2" applyNumberFormat="true" applyFont="true" applyFill="true" applyBorder="true" applyAlignment="true">
      <alignment horizontal="center" vertical="center"/>
    </xf>
    <xf numFmtId="310" fontId="24" fillId="4" borderId="39" xfId="2" applyFont="true" applyFill="true" applyBorder="true" applyAlignment="true">
      <alignment horizontal="center" vertical="center"/>
    </xf>
    <xf numFmtId="310" fontId="23" fillId="4" borderId="40" xfId="2" applyFont="true" applyFill="true" applyBorder="true" applyAlignment="true">
      <alignment horizontal="center" vertical="center"/>
    </xf>
    <xf numFmtId="310" fontId="25" fillId="26" borderId="41" xfId="2" applyFont="true" applyFill="true" applyBorder="true" applyAlignment="true">
      <alignment horizontal="center" vertical="center"/>
    </xf>
    <xf numFmtId="310" fontId="25" fillId="26" borderId="91" xfId="2" applyFont="true" applyFill="true" applyAlignment="true">
      <alignment horizontal="center" vertical="center"/>
    </xf>
    <xf numFmtId="310" fontId="26" fillId="26" borderId="91" xfId="2" applyFont="true" applyFill="true" applyAlignment="true">
      <alignment horizontal="center" vertical="center"/>
    </xf>
    <xf numFmtId="305" fontId="26" fillId="26" borderId="91" xfId="2" applyNumberFormat="true" applyFont="true" applyFill="true" applyAlignment="true">
      <alignment horizontal="center" vertical="center"/>
    </xf>
    <xf numFmtId="0" fontId="26" fillId="26" borderId="91" xfId="2" applyNumberFormat="true" applyFont="true" applyFill="true" applyAlignment="true">
      <alignment horizontal="center" vertical="center"/>
    </xf>
    <xf numFmtId="305" fontId="27" fillId="26" borderId="91" xfId="2" applyNumberFormat="true" applyFont="true" applyFill="true" applyAlignment="true">
      <alignment horizontal="center" vertical="center"/>
    </xf>
    <xf numFmtId="0" fontId="26" fillId="26" borderId="42" xfId="2" applyNumberFormat="true" applyFont="true" applyFill="true" applyBorder="true" applyAlignment="true">
      <alignment horizontal="center" vertical="center"/>
    </xf>
    <xf numFmtId="310" fontId="26" fillId="26" borderId="42" xfId="2" applyFont="true" applyFill="true" applyBorder="true" applyAlignment="true">
      <alignment horizontal="center" vertical="center"/>
    </xf>
    <xf numFmtId="310" fontId="25" fillId="3" borderId="41" xfId="2" applyFont="true" applyBorder="true" applyAlignment="true">
      <alignment horizontal="center" vertical="center"/>
    </xf>
    <xf numFmtId="310" fontId="25" fillId="3" borderId="91" xfId="2" applyFont="true" applyAlignment="true">
      <alignment horizontal="center" vertical="center"/>
    </xf>
    <xf numFmtId="310" fontId="26" fillId="3" borderId="91" xfId="2" applyFont="true" applyAlignment="true">
      <alignment horizontal="center" vertical="center"/>
    </xf>
    <xf numFmtId="305" fontId="26" fillId="3" borderId="91" xfId="2" applyNumberFormat="true" applyFont="true" applyAlignment="true">
      <alignment horizontal="center" vertical="center"/>
    </xf>
    <xf numFmtId="0" fontId="26" fillId="3" borderId="5" xfId="2" applyNumberFormat="true" applyFont="true" applyFill="true" applyBorder="true" applyAlignment="true">
      <alignment horizontal="center"/>
    </xf>
    <xf numFmtId="305" fontId="27" fillId="3" borderId="91" xfId="2" applyNumberFormat="true" applyFont="true" applyAlignment="true">
      <alignment horizontal="center" vertical="center"/>
    </xf>
    <xf numFmtId="310" fontId="26" fillId="3" borderId="42" xfId="2" applyFont="true" applyBorder="true" applyAlignment="true">
      <alignment horizontal="center" vertical="center"/>
    </xf>
    <xf numFmtId="305" fontId="28" fillId="3" borderId="91" xfId="2" applyNumberFormat="true" applyFont="true" applyAlignment="true">
      <alignment horizontal="center" vertical="center"/>
    </xf>
    <xf numFmtId="0" fontId="26" fillId="3" borderId="91" xfId="2" applyNumberFormat="true" applyFont="true" applyAlignment="true">
      <alignment horizontal="center" vertical="center"/>
    </xf>
    <xf numFmtId="305" fontId="26" fillId="3" borderId="43" xfId="2" applyNumberFormat="true" applyFont="true" applyBorder="true" applyAlignment="true">
      <alignment horizontal="center" vertical="center"/>
    </xf>
    <xf numFmtId="310" fontId="29" fillId="3" borderId="37" xfId="2" applyFont="true" applyBorder="true" applyAlignment="true">
      <alignment horizontal="center" vertical="center"/>
    </xf>
    <xf numFmtId="310" fontId="26" fillId="3" borderId="38" xfId="2" applyFont="true" applyBorder="true" applyAlignment="true">
      <alignment horizontal="center" vertical="center"/>
    </xf>
    <xf numFmtId="310" fontId="29" fillId="3" borderId="38" xfId="2" applyFont="true" applyBorder="true" applyAlignment="true">
      <alignment horizontal="center" vertical="center"/>
    </xf>
    <xf numFmtId="305" fontId="29" fillId="3" borderId="38" xfId="2" applyNumberFormat="true" applyFont="true" applyBorder="true" applyAlignment="true">
      <alignment horizontal="center" vertical="center"/>
    </xf>
    <xf numFmtId="0" fontId="26" fillId="3" borderId="38" xfId="2" applyNumberFormat="true" applyFont="true" applyBorder="true" applyAlignment="true">
      <alignment horizontal="center" vertical="center"/>
    </xf>
    <xf numFmtId="305" fontId="26" fillId="3" borderId="38" xfId="2" applyNumberFormat="true" applyFont="true" applyBorder="true" applyAlignment="true">
      <alignment horizontal="center" vertical="center"/>
    </xf>
    <xf numFmtId="305" fontId="27" fillId="3" borderId="39" xfId="2" applyNumberFormat="true" applyFont="true" applyBorder="true" applyAlignment="true">
      <alignment horizontal="center" vertical="center"/>
    </xf>
    <xf numFmtId="305" fontId="26" fillId="3" borderId="42" xfId="2" applyNumberFormat="true" applyFont="true" applyBorder="true" applyAlignment="true">
      <alignment horizontal="center" vertical="center"/>
    </xf>
    <xf numFmtId="310" fontId="29" fillId="3" borderId="44" xfId="2" applyFont="true" applyBorder="true" applyAlignment="true">
      <alignment horizontal="center" vertical="center"/>
    </xf>
    <xf numFmtId="310" fontId="26" fillId="3" borderId="43" xfId="2" applyFont="true" applyBorder="true" applyAlignment="true">
      <alignment horizontal="center" vertical="center"/>
    </xf>
    <xf numFmtId="310" fontId="29" fillId="3" borderId="43" xfId="2" applyFont="true" applyBorder="true" applyAlignment="true">
      <alignment horizontal="center" vertical="center"/>
    </xf>
    <xf numFmtId="305" fontId="29" fillId="3" borderId="43" xfId="2" applyNumberFormat="true" applyFont="true" applyBorder="true" applyAlignment="true">
      <alignment horizontal="center" vertical="center"/>
    </xf>
    <xf numFmtId="0" fontId="26" fillId="3" borderId="43" xfId="2" applyNumberFormat="true" applyFont="true" applyBorder="true" applyAlignment="true">
      <alignment horizontal="center" vertical="center"/>
    </xf>
    <xf numFmtId="305" fontId="27" fillId="3" borderId="45" xfId="2" applyNumberFormat="true" applyFont="true" applyBorder="true" applyAlignment="true">
      <alignment horizontal="center" vertical="center"/>
    </xf>
    <xf numFmtId="305" fontId="26" fillId="3" borderId="46" xfId="2" applyNumberFormat="true" applyFont="true" applyBorder="true" applyAlignment="true">
      <alignment horizontal="center" vertical="center"/>
    </xf>
    <xf numFmtId="10" fontId="26" fillId="26" borderId="91" xfId="2" applyNumberFormat="true" applyFont="true" applyFill="true" applyAlignment="true">
      <alignment horizontal="center" vertical="center"/>
    </xf>
    <xf numFmtId="0" fontId="25" fillId="26" borderId="91" xfId="2" applyNumberFormat="true" applyFont="true" applyFill="true" applyAlignment="true">
      <alignment horizontal="center" vertical="center"/>
    </xf>
    <xf numFmtId="306" fontId="26" fillId="26" borderId="91" xfId="2" applyNumberFormat="true" applyFont="true" applyFill="true" applyAlignment="true">
      <alignment horizontal="center" vertical="center"/>
    </xf>
    <xf numFmtId="310" fontId="25" fillId="26" borderId="44" xfId="2" applyFont="true" applyFill="true" applyBorder="true" applyAlignment="true">
      <alignment horizontal="center" vertical="center"/>
    </xf>
    <xf numFmtId="310" fontId="25" fillId="26" borderId="43" xfId="2" applyFont="true" applyFill="true" applyBorder="true" applyAlignment="true">
      <alignment horizontal="center" vertical="center"/>
    </xf>
    <xf numFmtId="310" fontId="26" fillId="26" borderId="43" xfId="2" applyFont="true" applyFill="true" applyBorder="true" applyAlignment="true">
      <alignment horizontal="center" vertical="center"/>
    </xf>
    <xf numFmtId="10" fontId="26" fillId="26" borderId="43" xfId="2" applyNumberFormat="true" applyFont="true" applyFill="true" applyBorder="true" applyAlignment="true">
      <alignment horizontal="center" vertical="center"/>
    </xf>
    <xf numFmtId="10" fontId="27" fillId="26" borderId="45" xfId="2" applyNumberFormat="true" applyFont="true" applyFill="true" applyBorder="true" applyAlignment="true">
      <alignment horizontal="center" vertical="center"/>
    </xf>
    <xf numFmtId="305" fontId="26" fillId="26" borderId="43" xfId="2" applyNumberFormat="true" applyFont="true" applyFill="true" applyBorder="true" applyAlignment="true">
      <alignment horizontal="center" vertical="center"/>
    </xf>
    <xf numFmtId="310" fontId="26" fillId="26" borderId="46" xfId="2" applyFont="true" applyFill="true" applyBorder="true" applyAlignment="true">
      <alignment horizontal="center" vertical="center"/>
    </xf>
    <xf numFmtId="310" fontId="27" fillId="3" borderId="91" xfId="2" applyFont="true" applyAlignment="true">
      <alignment horizontal="center" vertical="center"/>
    </xf>
    <xf numFmtId="310" fontId="23" fillId="27" borderId="41" xfId="2" applyFont="true" applyFill="true" applyBorder="true" applyAlignment="true">
      <alignment vertical="center"/>
    </xf>
    <xf numFmtId="310" fontId="23" fillId="27" borderId="91" xfId="2" applyFont="true" applyFill="true" applyAlignment="true">
      <alignment vertical="center"/>
    </xf>
    <xf numFmtId="310" fontId="24" fillId="27" borderId="91" xfId="2" applyFont="true" applyFill="true" applyAlignment="true">
      <alignment vertical="center"/>
    </xf>
    <xf numFmtId="310" fontId="56" fillId="3" borderId="91" xfId="2"/>
    <xf numFmtId="307" fontId="26" fillId="26" borderId="91" xfId="2" applyNumberFormat="true" applyFont="true" applyFill="true" applyAlignment="true">
      <alignment horizontal="center" vertical="center"/>
    </xf>
    <xf numFmtId="307" fontId="26" fillId="3" borderId="91" xfId="2" applyNumberFormat="true" applyFont="true" applyAlignment="true">
      <alignment horizontal="center" vertical="center"/>
    </xf>
    <xf numFmtId="310" fontId="26" fillId="27" borderId="42" xfId="2" applyFont="true" applyFill="true" applyBorder="true" applyAlignment="true">
      <alignment horizontal="center" vertical="center"/>
    </xf>
    <xf numFmtId="308" fontId="26" fillId="26" borderId="91" xfId="2" applyNumberFormat="true" applyFont="true" applyFill="true" applyAlignment="true">
      <alignment horizontal="center" vertical="center"/>
    </xf>
    <xf numFmtId="305" fontId="26" fillId="26" borderId="42" xfId="2" applyNumberFormat="true" applyFont="true" applyFill="true" applyBorder="true" applyAlignment="true">
      <alignment horizontal="center" vertical="center"/>
    </xf>
    <xf numFmtId="310" fontId="26" fillId="27" borderId="91" xfId="2" applyFont="true" applyFill="true" applyAlignment="true">
      <alignment vertical="center"/>
    </xf>
    <xf numFmtId="310" fontId="23" fillId="27" borderId="91" xfId="2" applyFont="true" applyFill="true" applyAlignment="true">
      <alignment horizontal="center" vertical="center"/>
    </xf>
    <xf fontId="30" fillId="28" borderId="47" xfId="0">
      <alignment horizontal="center" vertical="center" wrapText="true"/>
    </xf>
    <xf fontId="30" fillId="28" borderId="48" xfId="0">
      <alignment horizontal="center" vertical="center" wrapText="true"/>
    </xf>
    <xf fontId="31" fillId="28" borderId="49" xfId="0">
      <alignment horizontal="center" vertical="center" wrapText="true"/>
    </xf>
    <xf numFmtId="10" fontId="32" fillId="29" borderId="0" xfId="0">
      <alignment horizontal="center" vertical="center" wrapText="true"/>
    </xf>
    <xf fontId="33" fillId="29" borderId="0" xfId="0">
      <alignment horizontal="center" vertical="center" wrapText="true"/>
    </xf>
    <xf fontId="34" fillId="30" borderId="0" xfId="0">
      <alignment horizontal="center" vertical="bottom"/>
    </xf>
    <xf fontId="35" fillId="31" borderId="50" xfId="0">
      <alignment horizontal="center" vertical="center"/>
    </xf>
    <xf fontId="36" fillId="31" borderId="50" xfId="0">
      <alignment horizontal="center" vertical="center"/>
    </xf>
    <xf fontId="35" fillId="31" borderId="50" xfId="0">
      <alignment vertical="center" wrapText="true"/>
    </xf>
    <xf fontId="35" fillId="31" borderId="50" xfId="0">
      <alignment horizontal="center" vertical="center" wrapText="true"/>
    </xf>
    <xf numFmtId="10" fontId="34" fillId="30" borderId="0" xfId="0">
      <alignment horizontal="center" vertical="center" wrapText="true"/>
    </xf>
    <xf numFmtId="4" fontId="37" fillId="30" borderId="0" xfId="0">
      <alignment horizontal="center" vertical="center" wrapText="true"/>
    </xf>
    <xf numFmtId="4" fontId="37" fillId="30" borderId="0" xfId="0">
      <alignment horizontal="left" vertical="center" wrapText="true"/>
    </xf>
    <xf numFmtId="9" fontId="37" fillId="30" borderId="0" xfId="0">
      <alignment horizontal="center" vertical="center" wrapText="true"/>
    </xf>
    <xf fontId="37" fillId="30" borderId="0" xfId="0">
      <alignment horizontal="center" vertical="center" wrapText="true"/>
    </xf>
    <xf fontId="35" fillId="0" borderId="51" xfId="0">
      <alignment horizontal="center" vertical="center"/>
    </xf>
    <xf fontId="35" fillId="0" borderId="0" xfId="0">
      <alignment horizontal="center" vertical="center"/>
    </xf>
    <xf fontId="35" fillId="0" borderId="0" xfId="0">
      <alignment vertical="center" wrapText="true"/>
    </xf>
    <xf fontId="35" fillId="0" borderId="52" xfId="0">
      <alignment horizontal="center" vertical="center" wrapText="true"/>
    </xf>
    <xf fontId="37" fillId="30" borderId="0" xfId="0">
      <alignment vertical="center" wrapText="true"/>
    </xf>
    <xf fontId="34" fillId="30" borderId="0" xfId="0">
      <alignment horizontal="center" vertical="center"/>
    </xf>
    <xf fontId="36" fillId="0" borderId="0" xfId="0">
      <alignment horizontal="center" vertical="center"/>
    </xf>
    <xf numFmtId="10" fontId="34" fillId="30" borderId="0" xfId="0">
      <alignment horizontal="center" vertical="center"/>
    </xf>
    <xf fontId="38" fillId="0" borderId="0" xfId="0">
      <alignment vertical="center" wrapText="true"/>
    </xf>
    <xf numFmtId="10" fontId="37" fillId="30" borderId="0" xfId="0">
      <alignment horizontal="center" vertical="center" wrapText="true"/>
    </xf>
    <xf numFmtId="10" fontId="34" fillId="30" borderId="0" xfId="0">
      <alignment horizontal="left" vertical="center" wrapText="true"/>
    </xf>
    <xf numFmtId="9" fontId="34" fillId="30" borderId="0" xfId="0">
      <alignment horizontal="center" vertical="center"/>
    </xf>
    <xf fontId="35" fillId="0" borderId="0" xfId="0">
      <alignment horizontal="center" vertical="center" wrapText="true"/>
    </xf>
    <xf numFmtId="310" fontId="11" fillId="3" borderId="12" xfId="1" applyFont="true" applyBorder="true" applyAlignment="true">
      <alignment horizontal="center"/>
    </xf>
    <xf numFmtId="310" fontId="11" fillId="3" borderId="14" xfId="1" applyFont="true" applyBorder="true" applyAlignment="true">
      <alignment horizontal="center"/>
    </xf>
    <xf numFmtId="27" fontId="9" fillId="4" borderId="17" xfId="1" applyNumberFormat="true" applyFont="true" applyFill="true" applyBorder="true" applyAlignment="true">
      <alignment horizontal="center"/>
    </xf>
    <xf numFmtId="310" fontId="13" fillId="6" borderId="20" xfId="1" applyFont="true" applyFill="true" applyBorder="true" applyAlignment="true">
      <alignment horizontal="center" vertical="center" wrapText="true"/>
    </xf>
    <xf numFmtId="310" fontId="11" fillId="3" borderId="12" xfId="1" applyFont="true" applyBorder="true" applyAlignment="true">
      <alignment horizontal="center" vertical="bottom"/>
    </xf>
    <xf numFmtId="310" fontId="11" fillId="3" borderId="14" xfId="1" applyFont="true" applyBorder="true" applyAlignment="true">
      <alignment horizontal="center" vertical="bottom"/>
    </xf>
    <xf fontId="39" fillId="32" borderId="0" xfId="0">
      <alignment vertical="center"/>
    </xf>
    <xf fontId="39" fillId="32" borderId="53" xfId="0">
      <alignment vertical="center"/>
    </xf>
    <xf fontId="0" fillId="0" borderId="53" xfId="0">
      <alignment vertical="center"/>
    </xf>
    <xf fontId="39" fillId="32" borderId="54" xfId="0">
      <alignment vertical="center"/>
    </xf>
    <xf fontId="0" fillId="0" borderId="54" xfId="0">
      <alignment vertical="center"/>
    </xf>
    <xf fontId="34" fillId="0" borderId="54" xfId="0">
      <alignment vertical="center"/>
    </xf>
    <xf fontId="0" fillId="0" borderId="0" xfId="0">
      <alignment vertical="center"/>
    </xf>
    <xf fontId="40" fillId="32" borderId="55" xfId="0">
      <alignment horizontal="center" vertical="bottom" textRotation="0" indent="0" justifyLastLine="false" shrinkToFit="false"/>
    </xf>
    <xf fontId="39" fillId="32" borderId="55" xfId="0"/>
    <xf fontId="40" fillId="31" borderId="0" xfId="0">
      <alignment horizontal="center" vertical="bottom" textRotation="0" indent="0" justifyLastLine="false" shrinkToFit="false"/>
    </xf>
    <xf fontId="0" fillId="0" borderId="56" xfId="0">
      <alignment vertical="center"/>
    </xf>
    <xf fontId="39" fillId="0" borderId="56" xfId="0">
      <alignment vertical="center"/>
    </xf>
    <xf fontId="0" fillId="32" borderId="54" xfId="0">
      <alignment vertical="center"/>
    </xf>
    <xf fontId="34" fillId="0" borderId="56" xfId="0">
      <alignment vertical="center"/>
    </xf>
    <xf fontId="39" fillId="0" borderId="0" xfId="0">
      <alignment vertical="center"/>
    </xf>
    <xf fontId="17" fillId="8" borderId="57" xfId="0">
      <alignment horizontal="center" vertical="bottom" textRotation="0" indent="0" justifyLastLine="false" shrinkToFit="false"/>
    </xf>
    <xf fontId="0" fillId="0" borderId="57" xfId="0"/>
    <xf fontId="19" fillId="33" borderId="56" xfId="0">
      <alignment horizontal="center" vertical="center" textRotation="0" indent="0" justifyLastLine="false" shrinkToFit="false"/>
    </xf>
    <xf fontId="19" fillId="0" borderId="56" xfId="0">
      <alignment horizontal="center" vertical="center"/>
    </xf>
    <xf fontId="19" fillId="34" borderId="56" xfId="0">
      <alignment horizontal="center" vertical="center" textRotation="0" indent="0" justifyLastLine="false" shrinkToFit="false"/>
    </xf>
    <xf fontId="19" fillId="35" borderId="0" xfId="0">
      <alignment horizontal="center" vertical="center" textRotation="0" indent="0" justifyLastLine="false" shrinkToFit="false"/>
    </xf>
    <xf fontId="19" fillId="0" borderId="56" xfId="0">
      <alignment vertical="center"/>
    </xf>
    <xf fontId="19" fillId="0" borderId="54" xfId="0">
      <alignment vertical="center"/>
    </xf>
    <xf fontId="0" fillId="0" borderId="56" xfId="0">
      <alignment horizontal="center" vertical="center"/>
    </xf>
    <xf fontId="0" fillId="0" borderId="58" xfId="0">
      <alignment vertical="center"/>
    </xf>
    <xf fontId="19" fillId="0" borderId="59" xfId="0">
      <alignment horizontal="center" vertical="bottom" textRotation="0" indent="0" justifyLastLine="false" shrinkToFit="false"/>
    </xf>
    <xf fontId="0" fillId="0" borderId="59" xfId="0"/>
    <xf fontId="19" fillId="34" borderId="59" xfId="0">
      <alignment horizontal="center" vertical="bottom" textRotation="0" indent="0" justifyLastLine="false" shrinkToFit="false"/>
    </xf>
    <xf fontId="39" fillId="0" borderId="59" xfId="0"/>
    <xf fontId="19" fillId="32" borderId="54" xfId="0">
      <alignment vertical="center"/>
    </xf>
    <xf fontId="19" fillId="0" borderId="54" xfId="0">
      <alignment horizontal="center" vertical="center"/>
    </xf>
    <xf fontId="19" fillId="0" borderId="54" xfId="0">
      <alignment horizontal="center" vertical="center" textRotation="0" indent="0" justifyLastLine="false" shrinkToFit="false"/>
    </xf>
    <xf fontId="19" fillId="0" borderId="0" xfId="0">
      <alignment horizontal="center" vertical="center" textRotation="0" indent="0" justifyLastLine="false" shrinkToFit="false"/>
    </xf>
    <xf fontId="39" fillId="0" borderId="54" xfId="0">
      <alignment vertical="center"/>
    </xf>
    <xf fontId="34" fillId="34" borderId="54" xfId="0">
      <alignment vertical="center"/>
    </xf>
    <xf fontId="0" fillId="0" borderId="54" xfId="0">
      <alignment horizontal="center" vertical="center"/>
    </xf>
    <xf fontId="22" fillId="0" borderId="54" xfId="0">
      <alignment horizontal="center" vertical="center" textRotation="0" indent="0" justifyLastLine="false" shrinkToFit="false"/>
    </xf>
    <xf fontId="0" fillId="0" borderId="0" xfId="0">
      <alignment horizontal="center" vertical="center"/>
    </xf>
    <xf fontId="39" fillId="0" borderId="29" xfId="0">
      <alignment vertical="center"/>
    </xf>
    <xf fontId="0" fillId="0" borderId="29" xfId="0">
      <alignment vertical="center"/>
    </xf>
    <xf fontId="34" fillId="34" borderId="60" xfId="0">
      <alignment vertical="center"/>
    </xf>
    <xf fontId="22" fillId="33" borderId="3" xfId="0">
      <alignment horizontal="center" vertical="center" textRotation="0" indent="0" justifyLastLine="false" shrinkToFit="false"/>
    </xf>
    <xf fontId="0" fillId="0" borderId="54" xfId="0">
      <alignment horizontal="center" vertical="center" textRotation="0" indent="0" justifyLastLine="false" shrinkToFit="false"/>
    </xf>
    <xf fontId="39" fillId="0" borderId="54" xfId="0">
      <alignment horizontal="center" vertical="center"/>
    </xf>
    <xf fontId="39" fillId="0" borderId="0" xfId="0">
      <alignment horizontal="center" vertical="center"/>
    </xf>
    <xf fontId="0" fillId="0" borderId="58" xfId="0">
      <alignment horizontal="center" vertical="center"/>
    </xf>
    <xf fontId="19" fillId="33" borderId="3" xfId="0">
      <alignment horizontal="center" vertical="center" textRotation="0" indent="0" justifyLastLine="false" shrinkToFit="false"/>
    </xf>
    <xf fontId="0" fillId="32" borderId="3" xfId="0"/>
    <xf fontId="22" fillId="0" borderId="54" xfId="0">
      <alignment horizontal="center" vertical="center"/>
    </xf>
    <xf fontId="39" fillId="0" borderId="54" xfId="0">
      <alignment horizontal="center" vertical="center" textRotation="0" indent="0" justifyLastLine="false" shrinkToFit="false"/>
    </xf>
    <xf fontId="39" fillId="0" borderId="0" xfId="0">
      <alignment horizontal="center" vertical="center" textRotation="0" indent="0" justifyLastLine="false" shrinkToFit="false"/>
    </xf>
    <xf fontId="0" fillId="0" borderId="0" xfId="0">
      <alignment horizontal="center" vertical="center" textRotation="0" indent="0" justifyLastLine="false" shrinkToFit="false"/>
    </xf>
    <xf fontId="0" fillId="0" borderId="58" xfId="0">
      <alignment horizontal="center" vertical="center" textRotation="0" indent="0" justifyLastLine="false" shrinkToFit="false"/>
    </xf>
    <xf fontId="40" fillId="0" borderId="55" xfId="0">
      <alignment horizontal="center" vertical="bottom" textRotation="0"/>
    </xf>
    <xf fontId="0" fillId="0" borderId="55" xfId="0"/>
    <xf fontId="39" fillId="0" borderId="55" xfId="0"/>
    <xf fontId="40" fillId="0" borderId="0" xfId="0">
      <alignment horizontal="center" vertical="bottom" textRotation="0" indent="0" justifyLastLine="false" shrinkToFit="false"/>
    </xf>
    <xf fontId="19" fillId="33" borderId="54" xfId="0">
      <alignment horizontal="center" vertical="center" textRotation="0" indent="0" justifyLastLine="false" shrinkToFit="false"/>
    </xf>
    <xf fontId="19" fillId="34" borderId="54" xfId="0">
      <alignment horizontal="center" vertical="center" textRotation="0" indent="0" justifyLastLine="false" shrinkToFit="false"/>
    </xf>
    <xf fontId="0" fillId="0" borderId="58" xfId="0">
      <alignment horizontal="center" vertical="bottom" textRotation="0" indent="0" justifyLastLine="false" shrinkToFit="false"/>
    </xf>
    <xf fontId="0" fillId="0" borderId="0" xfId="0">
      <alignment horizontal="center" vertical="bottom" textRotation="0" indent="0" justifyLastLine="false" shrinkToFit="false"/>
    </xf>
    <xf fontId="41" fillId="0" borderId="54" xfId="0">
      <alignment horizontal="right" vertical="bottom" textRotation="0" indent="0" justifyLastLine="false" shrinkToFit="false"/>
    </xf>
    <xf fontId="40" fillId="0" borderId="55" xfId="0">
      <alignment horizontal="center" vertical="bottom" textRotation="0" indent="0" justifyLastLine="false" shrinkToFit="false"/>
    </xf>
    <xf fontId="41" fillId="0" borderId="54" xfId="0">
      <alignment horizontal="right" vertical="center"/>
    </xf>
    <xf fontId="17" fillId="8" borderId="61" xfId="0">
      <alignment horizontal="center" vertical="bottom" textRotation="0" indent="0" justifyLastLine="false" shrinkToFit="false"/>
    </xf>
    <xf fontId="0" fillId="0" borderId="61" xfId="0"/>
    <xf fontId="17" fillId="8" borderId="62" xfId="0">
      <alignment horizontal="center" vertical="bottom" textRotation="0" indent="0" justifyLastLine="false" shrinkToFit="false"/>
    </xf>
    <xf fontId="0" fillId="0" borderId="62" xfId="0"/>
    <xf fontId="17" fillId="8" borderId="63" xfId="0">
      <alignment horizontal="center" vertical="center" textRotation="0" indent="0" justifyLastLine="false" shrinkToFit="false"/>
    </xf>
    <xf fontId="0" fillId="0" borderId="63" xfId="0"/>
    <xf fontId="17" fillId="36" borderId="0" xfId="0">
      <alignment horizontal="center" vertical="center" textRotation="0" indent="0" justifyLastLine="false" shrinkToFit="false"/>
    </xf>
    <xf fontId="19" fillId="0" borderId="64" xfId="0">
      <alignment horizontal="center" vertical="center" textRotation="0" indent="0" justifyLastLine="false" shrinkToFit="false"/>
    </xf>
    <xf fontId="0" fillId="0" borderId="64" xfId="0"/>
    <xf fontId="19" fillId="0" borderId="65" xfId="0">
      <alignment horizontal="center" vertical="center" textRotation="0" indent="0" justifyLastLine="false" shrinkToFit="false"/>
    </xf>
    <xf fontId="0" fillId="0" borderId="65" xfId="0"/>
    <xf fontId="19" fillId="0" borderId="65" xfId="0">
      <alignment horizontal="center" vertical="center"/>
    </xf>
    <xf fontId="19" fillId="0" borderId="66" xfId="0">
      <alignment horizontal="center" vertical="center"/>
    </xf>
    <xf fontId="0" fillId="0" borderId="66" xfId="0"/>
    <xf fontId="19" fillId="0" borderId="0" xfId="0">
      <alignment horizontal="center" vertical="center"/>
    </xf>
    <xf fontId="19" fillId="0" borderId="67" xfId="0">
      <alignment horizontal="center" vertical="center" textRotation="0" indent="0" justifyLastLine="false" shrinkToFit="false"/>
    </xf>
    <xf fontId="0" fillId="0" borderId="67" xfId="0"/>
    <xf fontId="19" fillId="0" borderId="68" xfId="0">
      <alignment horizontal="center" vertical="center" textRotation="0" indent="0" justifyLastLine="false" shrinkToFit="false"/>
    </xf>
    <xf fontId="0" fillId="0" borderId="68" xfId="0"/>
    <xf fontId="19" fillId="0" borderId="69" xfId="0">
      <alignment horizontal="center" vertical="center" textRotation="0" indent="0" justifyLastLine="false" shrinkToFit="false"/>
    </xf>
    <xf fontId="0" fillId="0" borderId="69" xfId="0"/>
    <xf fontId="19" fillId="0" borderId="70" xfId="0">
      <alignment horizontal="center" vertical="center" textRotation="0" indent="0" justifyLastLine="false" shrinkToFit="false"/>
    </xf>
    <xf fontId="0" fillId="0" borderId="70" xfId="0"/>
    <xf fontId="19" fillId="0" borderId="71" xfId="0">
      <alignment horizontal="center" vertical="center"/>
    </xf>
    <xf fontId="0" fillId="0" borderId="71" xfId="0"/>
    <xf fontId="19" fillId="0" borderId="71" xfId="0">
      <alignment horizontal="center" vertical="center" textRotation="0" indent="0" justifyLastLine="false" shrinkToFit="false"/>
    </xf>
    <xf fontId="19" fillId="0" borderId="72" xfId="0">
      <alignment horizontal="center" vertical="center" textRotation="0" indent="0" justifyLastLine="false" shrinkToFit="false"/>
    </xf>
    <xf fontId="0" fillId="0" borderId="72" xfId="0"/>
    <xf fontId="19" fillId="0" borderId="73" xfId="0">
      <alignment horizontal="center" vertical="center"/>
    </xf>
    <xf fontId="0" fillId="0" borderId="73" xfId="0"/>
    <xf fontId="19" fillId="0" borderId="74" xfId="0">
      <alignment horizontal="center" vertical="center" textRotation="0" indent="0" justifyLastLine="false" shrinkToFit="false"/>
    </xf>
    <xf fontId="0" fillId="0" borderId="74" xfId="0"/>
    <xf fontId="42" fillId="0" borderId="75" xfId="0">
      <alignment horizontal="left"/>
    </xf>
    <xf numFmtId="27" fontId="23" fillId="4" borderId="31" xfId="0" applyNumberFormat="true" applyFont="true" applyFill="true" applyBorder="true" applyAlignment="true">
      <alignment horizontal="center" vertical="center"/>
    </xf>
    <xf numFmtId="310" fontId="25" fillId="5" borderId="76" xfId="0" applyFont="true" applyFill="true" applyBorder="true" applyAlignment="true">
      <alignment horizontal="center"/>
    </xf>
    <xf numFmtId="310" fontId="26" fillId="0" borderId="77" xfId="0" applyFont="true" applyBorder="true" applyAlignment="true">
      <alignment horizontal="left" vertical="center" wrapText="true"/>
    </xf>
    <xf numFmtId="310" fontId="26" fillId="0" borderId="77" xfId="0" applyFont="true" applyBorder="true" applyAlignment="true">
      <alignment wrapText="true"/>
    </xf>
    <xf numFmtId="309" fontId="43" fillId="37" borderId="0" xfId="0">
      <alignment horizontal="center"/>
    </xf>
    <xf fontId="44" fillId="6" borderId="4" xfId="0">
      <alignment horizontal="center"/>
    </xf>
    <xf fontId="45" fillId="0" borderId="78" xfId="0">
      <alignment wrapText="true"/>
    </xf>
    <xf fontId="46" fillId="6" borderId="4" xfId="0">
      <alignment horizontal="center"/>
    </xf>
    <xf fontId="47" fillId="0" borderId="78" xfId="0">
      <alignment wrapText="true"/>
    </xf>
    <xf fontId="39" fillId="0" borderId="78" xfId="0">
      <alignment wrapText="true"/>
    </xf>
    <xf fontId="48" fillId="6" borderId="4" xfId="0">
      <alignment horizontal="center"/>
    </xf>
    <xf fontId="0" fillId="0" borderId="78" xfId="0">
      <alignment wrapText="true"/>
    </xf>
    <xf fontId="0" fillId="0" borderId="34" xfId="0">
      <alignment wrapText="true"/>
    </xf>
    <xf fontId="48" fillId="5" borderId="4" xfId="0">
      <alignment horizontal="center"/>
    </xf>
    <xf numFmtId="309" fontId="43" fillId="37" borderId="3" xfId="0">
      <alignment horizontal="center"/>
    </xf>
    <xf fontId="0" fillId="0" borderId="3" xfId="0">
      <alignment wrapText="true"/>
    </xf>
    <xf fontId="46" fillId="6" borderId="4" xfId="0">
      <alignment horizontal="center" wrapText="true"/>
    </xf>
    <xf fontId="46" fillId="6" borderId="3" xfId="0">
      <alignment horizontal="center" wrapText="true"/>
    </xf>
    <xf fontId="49" fillId="6" borderId="3" xfId="0">
      <alignment horizontal="center" wrapText="true"/>
    </xf>
    <xf numFmtId="0" fontId="42" fillId="0" borderId="79" xfId="0" applyNumberFormat="true" applyFont="true" applyBorder="true" applyAlignment="true">
      <alignment horizontal="left"/>
    </xf>
    <xf numFmtId="310" fontId="50" fillId="0" borderId="80" xfId="0" applyFont="true" applyBorder="true" applyAlignment="true">
      <alignment horizontal="left"/>
    </xf>
    <xf numFmtId="27" fontId="9" fillId="4" borderId="81" xfId="1" applyNumberFormat="true" applyFont="true" applyFill="true" applyBorder="true" applyAlignment="true">
      <alignment horizontal="center" vertical="center"/>
    </xf>
    <xf numFmtId="310" fontId="9" fillId="4" borderId="82" xfId="1" applyFont="true" applyFill="true" applyBorder="true" applyAlignment="true">
      <alignment horizontal="center"/>
    </xf>
    <xf numFmtId="309" fontId="51" fillId="37" borderId="0" xfId="0">
      <alignment horizontal="center" vertical="center"/>
    </xf>
    <xf numFmtId="310" fontId="25" fillId="5" borderId="41" xfId="0" applyFont="true" applyFill="true" applyBorder="true" applyAlignment="true">
      <alignment horizontal="center" vertical="center"/>
    </xf>
    <xf numFmtId="0" fontId="25" fillId="5" borderId="83" xfId="0" applyNumberFormat="true" applyFont="true" applyFill="true" applyBorder="true" applyAlignment="true">
      <alignment horizontal="center" vertical="center"/>
    </xf>
    <xf numFmtId="0" fontId="48" fillId="6" borderId="0" xfId="0">
      <alignment horizontal="center" vertical="center"/>
    </xf>
    <xf numFmtId="310" fontId="25" fillId="0" borderId="84" xfId="0" applyFont="true" applyBorder="true" applyAlignment="true">
      <alignment horizontal="center" vertical="center"/>
    </xf>
    <xf numFmtId="310" fontId="26" fillId="0" borderId="85" xfId="0" applyFont="true" applyBorder="true" applyAlignment="true">
      <alignment horizontal="left" vertical="center" wrapText="true"/>
    </xf>
    <xf fontId="52" fillId="0" borderId="3" xfId="0">
      <alignment horizontal="left" vertical="center" wrapText="true"/>
    </xf>
    <xf numFmtId="310" fontId="26" fillId="0" borderId="86" xfId="0" applyFont="true" applyBorder="true" applyAlignment="true">
      <alignment horizontal="left" vertical="center" wrapText="true"/>
    </xf>
    <xf numFmtId="310" fontId="26" fillId="0" borderId="87" xfId="0" applyFont="true" applyBorder="true" applyAlignment="true">
      <alignment horizontal="left" vertical="center" wrapText="true"/>
    </xf>
    <xf fontId="0" fillId="0" borderId="88" xfId="0"/>
    <xf fontId="0" fillId="0" borderId="89" xfId="0"/>
    <xf numFmtId="0" fontId="25" fillId="0" borderId="84" xfId="0" applyNumberFormat="true" applyFont="true" applyBorder="true" applyAlignment="true">
      <alignment horizontal="center" vertical="center"/>
    </xf>
    <xf fontId="47" fillId="0" borderId="3" xfId="0">
      <alignment vertical="center" wrapText="true"/>
    </xf>
    <xf fontId="27" fillId="0" borderId="1" xfId="0">
      <alignment horizontal="left" vertical="center" wrapText="true"/>
    </xf>
    <xf fontId="0" fillId="0" borderId="90" xfId="0"/>
    <xf fontId="53" fillId="0" borderId="3" xfId="0">
      <alignment vertical="center"/>
    </xf>
    <xf fontId="53" fillId="0" borderId="3" xfId="0">
      <alignment vertical="center" wrapText="true"/>
    </xf>
    <xf fontId="47" fillId="0" borderId="3" xfId="0">
      <alignment vertical="center"/>
    </xf>
    <xf fontId="0" fillId="0" borderId="3" xfId="0">
      <alignment horizontal="left"/>
    </xf>
    <xf numFmtId="0" fontId="26" fillId="0" borderId="85" xfId="0" applyNumberFormat="true" applyFont="true" applyBorder="true" applyAlignment="true">
      <alignment horizontal="left" vertical="center" wrapText="true"/>
    </xf>
    <xf numFmtId="310" fontId="56" fillId="3" borderId="91" xfId="2" applyNumberFormat="true" applyFill="true" applyBorder="true"/>
    <xf numFmtId="310" fontId="26" fillId="3" borderId="91" xfId="2" applyNumberFormat="true" applyFont="true" applyFill="true" applyBorder="true"/>
    <xf numFmtId="310" fontId="26" fillId="3" borderId="5" xfId="2" applyNumberFormat="true" applyFont="true" applyFill="true" applyBorder="true"/>
    <xf numFmtId="310" fontId="27" fillId="3" borderId="29" xfId="2" applyNumberFormat="true" applyFont="true" applyFill="true" applyBorder="true"/>
    <xf numFmtId="310" fontId="26" fillId="3" borderId="91" xfId="2" applyNumberFormat="true" applyFont="true" applyFill="true" applyBorder="true" applyAlignment="true">
      <alignment horizontal="center"/>
    </xf>
    <xf fontId="0" fillId="38" borderId="0" xfId="0"/>
    <xf numFmtId="310" fontId="7" fillId="3" borderId="91" xfId="1" applyNumberFormat="true" applyFont="true" applyFill="true" applyBorder="true" applyAlignment="true">
      <alignment horizontal="center"/>
    </xf>
    <xf numFmtId="310" fontId="11" fillId="3" borderId="91" xfId="1" applyNumberFormat="true" applyFont="true" applyFill="true" applyBorder="true" applyAlignment="true">
      <alignment horizontal="center"/>
    </xf>
    <xf numFmtId="310" fontId="55" fillId="3" borderId="91" xfId="1" applyNumberFormat="true" applyFill="true" applyBorder="true"/>
    <xf numFmtId="310" fontId="25" fillId="3" borderId="91" xfId="0" applyNumberFormat="true" applyFont="true" applyFill="true" applyBorder="true" applyAlignment="true">
      <alignment horizontal="center"/>
    </xf>
    <xf fontId="0" fillId="0" borderId="0" xfId="0">
      <alignment wrapText="true"/>
    </xf>
  </cellXfs>
  <cellStyles>
    <cellStyle name="常规" xfId="0" builtinId="0"/>
    <cellStyle name="常规 2" xfId="1"/>
    <cellStyle name="常规 3" xfId="2"/>
  </cellStyles>
  <dxfs count="1">
    <dxf>
      <fill>
        <patternFill patternType="solid">
          <fgColor rgb="FFFFFF00"/>
          <bgColor rgb="FF000000"/>
        </patternFill>
      </fill>
    </dxf>
  </dxfs>
</styleSheet>
</file>

<file path=xl/_rels/workbook.xml.rels><?xml version="1.0" encoding="UTF-8" standalone="yes"?><Relationships xmlns="http://schemas.openxmlformats.org/package/2006/relationships"><Relationship Id="rId9" Type="http://schemas.openxmlformats.org/officeDocument/2006/relationships/worksheet" Target="worksheets/sheet7.xml" /><Relationship Id="rId8" Type="http://schemas.openxmlformats.org/officeDocument/2006/relationships/worksheet" Target="worksheets/sheet6.xml" /><Relationship Id="rId6" Type="http://schemas.openxmlformats.org/officeDocument/2006/relationships/worksheet" Target="worksheets/sheet4.xml" /><Relationship Id="rId0" Type="http://schemas.openxmlformats.org/officeDocument/2006/relationships/sharedStrings" Target="sharedStrings.xml" /><Relationship Id="rId1" Type="http://schemas.openxmlformats.org/officeDocument/2006/relationships/theme" Target="theme/theme1.xml" /><Relationship Id="rId10" Type="http://schemas.openxmlformats.org/officeDocument/2006/relationships/worksheet" Target="worksheets/sheet8.xml" /><Relationship Id="rId7" Type="http://schemas.openxmlformats.org/officeDocument/2006/relationships/worksheet" Target="worksheets/sheet5.xml" /><Relationship Id="rId5" Type="http://schemas.openxmlformats.org/officeDocument/2006/relationships/worksheet" Target="worksheets/sheet3.xml" /><Relationship Id="rId2" Type="http://schemas.openxmlformats.org/officeDocument/2006/relationships/styles" Target="styles.xml" /><Relationship Id="rId4" Type="http://schemas.openxmlformats.org/officeDocument/2006/relationships/worksheet" Target="worksheets/sheet2.xml" /><Relationship Id="rId3" Type="http://schemas.openxmlformats.org/officeDocument/2006/relationships/worksheet" Target="worksheets/sheet1.xml" /></Relationships>
</file>

<file path=xl/drawings/_rels/drawing1.xml.rels><?xml version="1.0" encoding="UTF-8" standalone="yes"?><Relationships xmlns="http://schemas.openxmlformats.org/package/2006/relationships"><Relationship Id="rId0" Type="http://schemas.openxmlformats.org/officeDocument/2006/relationships/image" Target="media/image1.png" /><Relationship Id="rId2" Type="http://schemas.openxmlformats.org/officeDocument/2006/relationships/image" Target="media/image3.png" /><Relationship Id="rId1" Type="http://schemas.openxmlformats.org/officeDocument/2006/relationships/image" Target="media/image2.png" /></Relationships>
</file>

<file path=xl/drawings/drawing1.xml><?xml version="1.0" encoding="utf-8"?>
<xdr:wsDr xmlns:a="http://schemas.openxmlformats.org/drawingml/2006/main" xmlns:r="http://schemas.openxmlformats.org/officeDocument/2006/relationships" xmlns:xdr="http://schemas.openxmlformats.org/drawingml/2006/spreadsheetDrawing">
  <xdr:oneCellAnchor>
    <xdr:from>
      <xdr:col>0</xdr:col>
      <xdr:colOff>533065</xdr:colOff>
      <xdr:row>6</xdr:row>
      <xdr:rowOff>85530</xdr:rowOff>
    </xdr:from>
    <xdr:ext cx="5091955" cy="6340851"/>
    <xdr:pic>
      <xdr:nvPicPr>
        <xdr:cNvPr id="1" name=""/>
        <xdr:cNvPicPr/>
      </xdr:nvPicPr>
      <xdr:blipFill>
        <a:blip r:embed="rId0" r:link="rId0"/>
        <a:stretch>
          <a:fillRect/>
        </a:stretch>
      </xdr:blipFill>
      <xdr:spPr>
        <a:xfrm flipH="false" flipV="false"/>
        <a:prstGeom prst="rect"/>
      </xdr:spPr>
    </xdr:pic>
    <xdr:clientData/>
  </xdr:oneCellAnchor>
  <xdr:oneCellAnchor>
    <xdr:from>
      <xdr:col>2</xdr:col>
      <xdr:colOff>285750</xdr:colOff>
      <xdr:row>36</xdr:row>
      <xdr:rowOff>13703</xdr:rowOff>
    </xdr:from>
    <xdr:ext cx="3608028" cy="6751052"/>
    <xdr:pic>
      <xdr:nvPicPr>
        <xdr:cNvPr id="2" name=""/>
        <xdr:cNvPicPr/>
      </xdr:nvPicPr>
      <xdr:blipFill>
        <a:blip r:embed="rId1" r:link="rId1"/>
        <a:stretch>
          <a:fillRect/>
        </a:stretch>
      </xdr:blipFill>
      <xdr:spPr>
        <a:xfrm flipH="false" flipV="false"/>
        <a:prstGeom prst="rect"/>
      </xdr:spPr>
    </xdr:pic>
    <xdr:clientData/>
  </xdr:oneCellAnchor>
  <xdr:oneCellAnchor>
    <xdr:from>
      <xdr:col>2</xdr:col>
      <xdr:colOff>269040</xdr:colOff>
      <xdr:row>68</xdr:row>
      <xdr:rowOff>33421</xdr:rowOff>
    </xdr:from>
    <xdr:ext cx="3331911" cy="1828800"/>
    <xdr:pic>
      <xdr:nvPicPr>
        <xdr:cNvPr id="3" name=""/>
        <xdr:cNvPicPr/>
      </xdr:nvPicPr>
      <xdr:blipFill>
        <a:blip r:embed="rId2" r:link="rId2"/>
        <a:stretch>
          <a:fillRect/>
        </a:stretch>
      </xdr:blipFill>
      <xdr:spPr>
        <a:xfrm flipH="false" flipV="false"/>
        <a:prstGeom prst="rect"/>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extraClrSchemeLst/>
</a:theme>
</file>

<file path=xl/worksheets/_rels/sheet8.xml.rels><?xml version="1.0" encoding="UTF-8" standalone="yes"?><Relationships xmlns="http://schemas.openxmlformats.org/package/2006/relationships"><Relationship Id="rId0" Type="http://schemas.openxmlformats.org/officeDocument/2006/relationships/drawing" Target="../drawings/drawing1.xml" /></Relationships>
</file>

<file path=xl/worksheets/sheet1.xml><?xml version="1.0" encoding="utf-8"?>
<worksheet xmlns="http://schemas.openxmlformats.org/spreadsheetml/2006/main">
  <sheetPr/>
  <dimension ref="Z41"/>
  <sheetViews>
    <sheetView showGridLines="false" tabSelected="false" zoomScale="87" zoomScaleNormal="63" workbookViewId="0"/>
  </sheetViews>
  <sheetFormatPr defaultColWidth="9" defaultRowHeight="15.6"/>
  <cols>
    <col min="1" max="1" width="9" style="374"/>
    <col min="2" max="2" width="12.7773" style="375" customWidth="true"/>
    <col min="3" max="3" width="23.1094" style="375" customWidth="true"/>
    <col min="4" max="7" width="12.332" style="375" customWidth="true"/>
    <col min="8" max="8" width="9" style="375"/>
    <col min="9" max="9" width="9.77734" style="375" customWidth="true"/>
    <col min="10" max="10" width="10" style="375" customWidth="true"/>
    <col min="11" max="11" width="10.6641" style="375" customWidth="true"/>
    <col min="12" max="19" width="9" style="375"/>
    <col min="20" max="21" width="11.4414" style="376" customWidth="true"/>
    <col min="22" max="22" width="11.4414" style="377" customWidth="true"/>
    <col min="23" max="26" width="11.4414" style="375" customWidth="true"/>
    <col min="27" max="27" width="114" style="378" customWidth="true"/>
    <col min="28" max="29" width="9" style="374"/>
  </cols>
  <sheetData>
    <row r="2" spans="2:27" ht="16.2">
      <c r="B2" s="140" t="s">
        <v>2445</v>
      </c>
      <c r="C2" s="141" t="s">
        <v>2446</v>
      </c>
      <c r="D2" s="141" t="s">
        <v>2447</v>
      </c>
      <c r="E2" s="141">
        <v>2022</v>
      </c>
      <c r="F2" s="141">
        <v>2023</v>
      </c>
      <c r="G2" s="141">
        <v>2024</v>
      </c>
      <c r="H2" s="141" t="s">
        <v>2949</v>
      </c>
      <c r="I2" s="141" t="s">
        <v>2448</v>
      </c>
      <c r="J2" s="141" t="s">
        <v>2950</v>
      </c>
      <c r="K2" s="141" t="s">
        <v>2951</v>
      </c>
      <c r="L2" s="141" t="s">
        <v>2952</v>
      </c>
      <c r="M2" s="141" t="s">
        <v>2449</v>
      </c>
      <c r="N2" s="141" t="s">
        <v>2450</v>
      </c>
      <c r="O2" s="141" t="s">
        <v>2451</v>
      </c>
      <c r="P2" s="141" t="s">
        <v>2452</v>
      </c>
      <c r="Q2" s="141" t="s">
        <v>2453</v>
      </c>
      <c r="R2" s="141" t="s">
        <v>2454</v>
      </c>
      <c r="S2" s="141" t="s">
        <v>2455</v>
      </c>
      <c r="T2" s="142" t="s">
        <v>2456</v>
      </c>
      <c r="U2" s="142" t="s">
        <v>2457</v>
      </c>
      <c r="V2" s="143" t="s"/>
      <c r="W2" s="141" t="s">
        <v>2458</v>
      </c>
      <c r="X2" s="141" t="s">
        <v>2459</v>
      </c>
      <c r="Y2" s="141" t="s">
        <v>2460</v>
      </c>
      <c r="Z2" s="141" t="s">
        <v>2461</v>
      </c>
      <c r="AA2" s="144" t="s">
        <v>2462</v>
      </c>
    </row>
    <row r="3" spans="2:27" ht="16.2">
      <c r="B3" s="145" t="s">
        <v>2463</v>
      </c>
      <c r="C3" s="146" t="s">
        <v>2464</v>
      </c>
      <c r="D3" s="147" t="s">
        <v>2465</v>
      </c>
      <c r="E3" s="147">
        <v>87.41</v>
      </c>
      <c r="F3" s="147">
        <v>216.88</v>
      </c>
      <c r="G3" s="147">
        <v>277.57</v>
      </c>
      <c r="H3" s="148">
        <v>39.47</v>
      </c>
      <c r="I3" s="148" t="s"/>
      <c r="J3" s="148">
        <v>20.24</v>
      </c>
      <c r="K3" s="148">
        <v>45.2</v>
      </c>
      <c r="L3" s="148">
        <v>93</v>
      </c>
      <c r="M3" s="148">
        <v>14.36</v>
      </c>
      <c r="N3" s="148">
        <v>11</v>
      </c>
      <c r="O3" s="148">
        <v>7.37</v>
      </c>
      <c r="P3" s="148">
        <v>9.66</v>
      </c>
      <c r="Q3" s="148">
        <v>12.6</v>
      </c>
      <c r="R3" s="148">
        <v>21.3</v>
      </c>
      <c r="S3" s="149">
        <v>40.18</v>
      </c>
      <c r="T3" s="148">
        <v>32.48</v>
      </c>
      <c r="V3" s="150" t="s"/>
      <c r="W3" s="148">
        <f>=SUM(H3:S3)</f>
        <v>314.38</v>
      </c>
      <c r="X3" s="148" t="s">
        <v>2466</v>
      </c>
      <c r="Y3" s="148" t="s">
        <v>2467</v>
      </c>
      <c r="Z3" s="148" t="s">
        <v>2468</v>
      </c>
      <c r="AA3" s="151" t="s">
        <v>2469</v>
      </c>
    </row>
    <row r="4" spans="2:27" ht="16.2">
      <c r="B4" s="145" t="s"/>
      <c r="C4" s="146" t="s">
        <v>2470</v>
      </c>
      <c r="D4" s="147" t="s">
        <v>2471</v>
      </c>
      <c r="E4" s="147">
        <v>34363</v>
      </c>
      <c r="F4" s="147">
        <v>54116</v>
      </c>
      <c r="G4" s="147">
        <v>68495</v>
      </c>
      <c r="H4" s="148">
        <v>8736.5</v>
      </c>
      <c r="I4" s="148" t="s"/>
      <c r="J4" s="148">
        <v>7844</v>
      </c>
      <c r="K4" s="148">
        <v>7193</v>
      </c>
      <c r="L4" s="148">
        <v>7057</v>
      </c>
      <c r="M4" s="148">
        <v>6739</v>
      </c>
      <c r="N4" s="148">
        <v>6638</v>
      </c>
      <c r="O4" s="148">
        <v>6986</v>
      </c>
      <c r="P4" s="148">
        <v>7087</v>
      </c>
      <c r="Q4" s="148">
        <v>6794</v>
      </c>
      <c r="R4" s="148">
        <v>7349</v>
      </c>
      <c r="S4" s="148">
        <v>7444.2</v>
      </c>
      <c r="T4" s="148">
        <v>92.86</v>
      </c>
      <c r="V4" s="150" t="s"/>
      <c r="W4" s="148">
        <f>=SUM(H4:S4)</f>
        <v>79867.7</v>
      </c>
      <c r="X4" s="148" t="s">
        <v>2472</v>
      </c>
      <c r="Y4" s="148" t="s">
        <v>53</v>
      </c>
      <c r="Z4" s="148" t="s">
        <v>53</v>
      </c>
      <c r="AA4" s="151" t="s">
        <v>2473</v>
      </c>
    </row>
    <row r="5" spans="2:27" ht="16.2">
      <c r="B5" s="145" t="s"/>
      <c r="C5" s="146" t="s">
        <v>2474</v>
      </c>
      <c r="D5" s="147" t="s">
        <v>2465</v>
      </c>
      <c r="E5" s="147">
        <v>288.7</v>
      </c>
      <c r="F5" s="147">
        <v>499</v>
      </c>
      <c r="G5" s="147">
        <v>588</v>
      </c>
      <c r="H5" s="148">
        <v>39</v>
      </c>
      <c r="I5" s="148">
        <v>42</v>
      </c>
      <c r="J5" s="148">
        <v>53</v>
      </c>
      <c r="K5" s="148">
        <v>55</v>
      </c>
      <c r="L5" s="148">
        <v>53.3</v>
      </c>
      <c r="M5" s="148">
        <v>49.2</v>
      </c>
      <c r="N5" s="148">
        <v>44.4</v>
      </c>
      <c r="O5" s="148">
        <v>46.28</v>
      </c>
      <c r="P5" s="148">
        <v>45.91</v>
      </c>
      <c r="Q5" s="148">
        <v>44.04</v>
      </c>
      <c r="R5" s="148">
        <v>42.49</v>
      </c>
      <c r="S5" s="148" t="s"/>
      <c r="T5" s="148">
        <v>31.1</v>
      </c>
      <c r="U5" s="148">
        <v>28.92</v>
      </c>
      <c r="V5" s="150" t="s"/>
      <c r="W5" s="148">
        <f>=SUM(H5:S5)</f>
        <v>514.62</v>
      </c>
      <c r="X5" s="148">
        <v>500</v>
      </c>
      <c r="Y5" s="148" t="s">
        <v>53</v>
      </c>
      <c r="Z5" s="148" t="s">
        <v>53</v>
      </c>
      <c r="AA5" s="152" t="s">
        <v>2475</v>
      </c>
    </row>
    <row r="6" spans="2:27" ht="16.2">
      <c r="B6" s="153" t="s">
        <v>2476</v>
      </c>
      <c r="C6" s="154" t="s">
        <v>2477</v>
      </c>
      <c r="D6" s="155" t="s">
        <v>2478</v>
      </c>
      <c r="E6" s="155">
        <v>545.9</v>
      </c>
      <c r="F6" s="155">
        <v>778.1</v>
      </c>
      <c r="G6" s="155">
        <v>1096.8</v>
      </c>
      <c r="H6" s="156">
        <v>107.8</v>
      </c>
      <c r="I6" s="156">
        <v>100.3</v>
      </c>
      <c r="J6" s="156">
        <v>118.3</v>
      </c>
      <c r="K6" s="156">
        <v>118.2</v>
      </c>
      <c r="L6" s="156">
        <v>123.5</v>
      </c>
      <c r="M6" s="156">
        <v>129.2</v>
      </c>
      <c r="N6" s="156">
        <v>133.8</v>
      </c>
      <c r="O6" s="156">
        <v>139.6</v>
      </c>
      <c r="P6" s="156">
        <v>151.2</v>
      </c>
      <c r="Q6" s="156">
        <v>170.6</v>
      </c>
      <c r="R6" s="156">
        <v>176.3</v>
      </c>
      <c r="S6" s="157">
        <v>201.7</v>
      </c>
      <c r="T6" s="156">
        <v>168</v>
      </c>
      <c r="U6" s="156">
        <v>141.6</v>
      </c>
      <c r="V6" s="158" t="s"/>
      <c r="W6" s="156">
        <f>=SUM(H6:S6)</f>
        <v>1670.5</v>
      </c>
      <c r="X6" s="156" t="s">
        <v>2479</v>
      </c>
      <c r="Y6" s="156" t="s">
        <v>2480</v>
      </c>
      <c r="Z6" s="156" t="s">
        <v>53</v>
      </c>
      <c r="AA6" s="159" t="s">
        <v>2953</v>
      </c>
    </row>
    <row r="7" spans="2:27" ht="16.2">
      <c r="B7" s="153" t="s"/>
      <c r="C7" s="154" t="s">
        <v>2481</v>
      </c>
      <c r="D7" s="155" t="s">
        <v>2478</v>
      </c>
      <c r="E7" s="155" t="s">
        <v>53</v>
      </c>
      <c r="F7" s="155" t="s">
        <v>53</v>
      </c>
      <c r="G7" s="155" t="s">
        <v>53</v>
      </c>
      <c r="H7" s="156">
        <v>103</v>
      </c>
      <c r="I7" s="156">
        <v>97</v>
      </c>
      <c r="J7" s="156">
        <v>108</v>
      </c>
      <c r="K7" s="156">
        <v>122</v>
      </c>
      <c r="L7" s="156">
        <v>140</v>
      </c>
      <c r="M7" s="156">
        <v>144</v>
      </c>
      <c r="N7" s="156">
        <v>138</v>
      </c>
      <c r="O7" s="156">
        <v>134</v>
      </c>
      <c r="P7" s="156">
        <v>152</v>
      </c>
      <c r="Q7" s="156">
        <v>186</v>
      </c>
      <c r="R7" s="160">
        <v>209</v>
      </c>
      <c r="S7" s="155">
        <v>220</v>
      </c>
      <c r="T7" s="156">
        <v>210</v>
      </c>
      <c r="U7" s="156">
        <v>188</v>
      </c>
      <c r="V7" s="158" t="s"/>
      <c r="W7" s="156">
        <f>=SUM(H7:S7)</f>
        <v>1753</v>
      </c>
      <c r="X7" s="156" t="s">
        <v>53</v>
      </c>
      <c r="Y7" s="156" t="s">
        <v>53</v>
      </c>
      <c r="Z7" s="156" t="s">
        <v>53</v>
      </c>
      <c r="AA7" s="159" t="s">
        <v>2482</v>
      </c>
    </row>
    <row r="8" spans="2:27" ht="16.2">
      <c r="B8" s="153" t="s"/>
      <c r="C8" s="154" t="s">
        <v>2483</v>
      </c>
      <c r="D8" s="155" t="s">
        <v>2478</v>
      </c>
      <c r="E8" s="155">
        <v>465.5</v>
      </c>
      <c r="F8" s="155">
        <v>616.3</v>
      </c>
      <c r="G8" s="155">
        <v>791.3</v>
      </c>
      <c r="H8" s="156">
        <v>62.9</v>
      </c>
      <c r="I8" s="156">
        <v>66.9</v>
      </c>
      <c r="J8" s="156">
        <v>87.5</v>
      </c>
      <c r="K8" s="156">
        <v>86.6</v>
      </c>
      <c r="L8" s="156">
        <v>87.5</v>
      </c>
      <c r="M8" s="156">
        <v>94.1</v>
      </c>
      <c r="N8" s="156">
        <v>91.1</v>
      </c>
      <c r="O8" s="156">
        <v>98.9</v>
      </c>
      <c r="P8" s="156">
        <v>110.5</v>
      </c>
      <c r="Q8" s="156">
        <v>79.1</v>
      </c>
      <c r="R8" s="160">
        <v>134</v>
      </c>
      <c r="S8" s="161">
        <v>143.8</v>
      </c>
      <c r="T8" s="156">
        <v>102.7</v>
      </c>
      <c r="U8" s="156">
        <v>74.5</v>
      </c>
      <c r="V8" s="158" t="s"/>
      <c r="W8" s="156">
        <f>=SUM(H8:S8)</f>
        <v>1142.9</v>
      </c>
      <c r="X8" s="156" t="s">
        <v>2484</v>
      </c>
      <c r="Y8" s="156" t="s">
        <v>53</v>
      </c>
      <c r="Z8" s="156" t="s">
        <v>53</v>
      </c>
      <c r="AA8" s="159" t="s">
        <v>2485</v>
      </c>
    </row>
    <row r="9" spans="2:27" ht="16.2">
      <c r="B9" s="153" t="s"/>
      <c r="C9" s="154" t="s">
        <v>2486</v>
      </c>
      <c r="D9" s="155" t="s">
        <v>2478</v>
      </c>
      <c r="E9" s="155">
        <v>294.6</v>
      </c>
      <c r="F9" s="155">
        <v>387.7</v>
      </c>
      <c r="G9" s="155">
        <v>548.4</v>
      </c>
      <c r="H9" s="156">
        <v>38.7</v>
      </c>
      <c r="I9" s="156">
        <v>34.8</v>
      </c>
      <c r="J9" s="156">
        <v>56.6</v>
      </c>
      <c r="K9" s="156">
        <v>54.1</v>
      </c>
      <c r="L9" s="156">
        <v>57</v>
      </c>
      <c r="M9" s="156">
        <v>58.1</v>
      </c>
      <c r="N9" s="156">
        <v>55.8</v>
      </c>
      <c r="O9" s="156">
        <v>62.5</v>
      </c>
      <c r="P9" s="156">
        <v>76</v>
      </c>
      <c r="Q9" s="156">
        <v>84.1</v>
      </c>
      <c r="R9" s="156">
        <v>93.5</v>
      </c>
      <c r="S9" s="161">
        <v>98.1</v>
      </c>
      <c r="T9" s="156">
        <v>42</v>
      </c>
      <c r="U9" s="156">
        <v>26.3</v>
      </c>
      <c r="V9" s="158" t="s"/>
      <c r="W9" s="156">
        <f>=SUM(H9:S9)</f>
        <v>769.3</v>
      </c>
      <c r="X9" s="162" t="s">
        <v>2487</v>
      </c>
      <c r="Y9" s="162" t="s">
        <v>53</v>
      </c>
      <c r="Z9" s="162" t="s">
        <v>53</v>
      </c>
      <c r="AA9" s="159" t="s">
        <v>2488</v>
      </c>
    </row>
    <row r="10" spans="2:27">
      <c r="B10" s="153" t="s"/>
      <c r="C10" s="163" t="s">
        <v>2489</v>
      </c>
      <c r="D10" s="164" t="s">
        <v>2478</v>
      </c>
      <c r="E10" s="165">
        <v>110.4</v>
      </c>
      <c r="F10" s="165">
        <v>126.2</v>
      </c>
      <c r="G10" s="165">
        <v>139</v>
      </c>
      <c r="H10" s="166">
        <v>8.5</v>
      </c>
      <c r="I10" s="166">
        <v>6.4</v>
      </c>
      <c r="J10" s="166">
        <v>10</v>
      </c>
      <c r="K10" s="166">
        <v>9.3</v>
      </c>
      <c r="L10" s="166">
        <v>10.5</v>
      </c>
      <c r="M10" s="166">
        <v>10.7</v>
      </c>
      <c r="N10" s="166">
        <v>10.9</v>
      </c>
      <c r="O10" s="166">
        <v>10.9</v>
      </c>
      <c r="P10" s="166">
        <v>13.8</v>
      </c>
      <c r="Q10" s="166">
        <v>16.5</v>
      </c>
      <c r="R10" s="166">
        <v>18.2</v>
      </c>
      <c r="S10" s="167">
        <v>18.2</v>
      </c>
      <c r="T10" s="168">
        <v>9.4</v>
      </c>
      <c r="U10" s="168">
        <v>5.7</v>
      </c>
      <c r="V10" s="169" t="s"/>
      <c r="W10" s="168">
        <f>=SUM(H10:S10)</f>
        <v>143.9</v>
      </c>
      <c r="X10" s="168" t="s">
        <v>2490</v>
      </c>
      <c r="Y10" s="156" t="s">
        <v>53</v>
      </c>
      <c r="Z10" s="170" t="s">
        <v>53</v>
      </c>
      <c r="AA10" s="159" t="s">
        <v>2485</v>
      </c>
    </row>
    <row r="11" spans="2:27">
      <c r="B11" s="153" t="s"/>
      <c r="C11" s="171" t="s">
        <v>2491</v>
      </c>
      <c r="D11" s="172" t="s">
        <v>2478</v>
      </c>
      <c r="E11" s="173">
        <v>183.8</v>
      </c>
      <c r="F11" s="173">
        <v>265.8</v>
      </c>
      <c r="G11" s="173">
        <v>409</v>
      </c>
      <c r="H11" s="174">
        <v>30.2</v>
      </c>
      <c r="I11" s="174">
        <v>28.4</v>
      </c>
      <c r="J11" s="174">
        <v>46.6</v>
      </c>
      <c r="K11" s="174">
        <v>44.8</v>
      </c>
      <c r="L11" s="174">
        <v>46.5</v>
      </c>
      <c r="M11" s="174">
        <v>47.4</v>
      </c>
      <c r="N11" s="174">
        <v>44.9</v>
      </c>
      <c r="O11" s="174">
        <v>51.6</v>
      </c>
      <c r="P11" s="174">
        <v>62.2</v>
      </c>
      <c r="Q11" s="174">
        <v>67.5</v>
      </c>
      <c r="R11" s="174">
        <v>75.3</v>
      </c>
      <c r="S11" s="175">
        <v>79.8</v>
      </c>
      <c r="T11" s="162">
        <v>32.7</v>
      </c>
      <c r="U11" s="162">
        <v>20.6</v>
      </c>
      <c r="V11" s="176" t="s"/>
      <c r="W11" s="162">
        <f>=SUM(H11:S11)</f>
        <v>625.2</v>
      </c>
      <c r="X11" s="162" t="s">
        <v>2492</v>
      </c>
      <c r="Y11" s="162" t="s">
        <v>53</v>
      </c>
      <c r="Z11" s="177" t="s">
        <v>53</v>
      </c>
      <c r="AA11" s="159" t="s">
        <v>2485</v>
      </c>
    </row>
    <row r="12" spans="2:27" ht="16.2">
      <c r="B12" s="145" t="s">
        <v>2493</v>
      </c>
      <c r="C12" s="146" t="s">
        <v>2494</v>
      </c>
      <c r="D12" s="147" t="s">
        <v>2495</v>
      </c>
      <c r="E12" s="147">
        <v>705.8</v>
      </c>
      <c r="F12" s="147">
        <v>958.7</v>
      </c>
      <c r="G12" s="147">
        <v>1288.8</v>
      </c>
      <c r="H12" s="148">
        <v>101.5</v>
      </c>
      <c r="I12" s="148">
        <v>88.8</v>
      </c>
      <c r="J12" s="148">
        <v>127.7</v>
      </c>
      <c r="K12" s="148">
        <v>125.1</v>
      </c>
      <c r="L12" s="148">
        <v>127</v>
      </c>
      <c r="M12" s="148">
        <v>126.8</v>
      </c>
      <c r="N12" s="148">
        <v>124.3</v>
      </c>
      <c r="O12" s="148">
        <v>139.1</v>
      </c>
      <c r="P12" s="148">
        <v>161.7</v>
      </c>
      <c r="Q12" s="148">
        <v>177.2</v>
      </c>
      <c r="R12" s="148">
        <v>188</v>
      </c>
      <c r="S12" s="149">
        <v>171.8</v>
      </c>
      <c r="T12" s="148">
        <v>104.1</v>
      </c>
      <c r="U12" s="148">
        <v>69.4</v>
      </c>
      <c r="V12" s="150" t="s"/>
      <c r="W12" s="148">
        <f>=SUM(H12:S12)</f>
        <v>1659</v>
      </c>
      <c r="X12" s="148" t="s">
        <v>2496</v>
      </c>
      <c r="Y12" s="148" t="s">
        <v>2497</v>
      </c>
      <c r="Z12" s="178">
        <v>0.14</v>
      </c>
      <c r="AA12" s="152" t="s">
        <v>2498</v>
      </c>
    </row>
    <row r="13" spans="2:27" ht="16.2">
      <c r="B13" s="145" t="s"/>
      <c r="C13" s="146" t="s">
        <v>2499</v>
      </c>
      <c r="D13" s="147" t="s">
        <v>2495</v>
      </c>
      <c r="E13" s="147">
        <v>688.7</v>
      </c>
      <c r="F13" s="147">
        <v>949.5</v>
      </c>
      <c r="G13" s="147">
        <v>1286.6</v>
      </c>
      <c r="H13" s="148">
        <v>94.4</v>
      </c>
      <c r="I13" s="148">
        <v>89.2</v>
      </c>
      <c r="J13" s="148">
        <v>123.7</v>
      </c>
      <c r="K13" s="148">
        <v>122.6</v>
      </c>
      <c r="L13" s="148">
        <v>130.7</v>
      </c>
      <c r="M13" s="148">
        <v>132.9</v>
      </c>
      <c r="N13" s="148">
        <v>126.2</v>
      </c>
      <c r="O13" s="148">
        <v>139.5</v>
      </c>
      <c r="P13" s="148">
        <v>160.4</v>
      </c>
      <c r="Q13" s="148">
        <v>171.5</v>
      </c>
      <c r="R13" s="148">
        <v>182.3</v>
      </c>
      <c r="S13" s="149">
        <v>171</v>
      </c>
      <c r="T13" s="148">
        <v>94.5</v>
      </c>
      <c r="U13" s="148">
        <v>76.5</v>
      </c>
      <c r="V13" s="150" t="s"/>
      <c r="W13" s="148">
        <f>=SUM(H13:S13)</f>
        <v>1644.4</v>
      </c>
      <c r="X13" s="148" t="s">
        <v>2500</v>
      </c>
      <c r="Y13" s="148" t="s">
        <v>2501</v>
      </c>
      <c r="Z13" s="178">
        <v>0.12</v>
      </c>
      <c r="AA13" s="152" t="s">
        <v>2502</v>
      </c>
    </row>
    <row r="14" spans="2:27" ht="16.2">
      <c r="B14" s="145" t="s"/>
      <c r="C14" s="179" t="s">
        <v>2503</v>
      </c>
      <c r="D14" s="147" t="s">
        <v>2495</v>
      </c>
      <c r="E14" s="147">
        <v>2686.4</v>
      </c>
      <c r="F14" s="147">
        <v>3009.4</v>
      </c>
      <c r="G14" s="147">
        <v>3143.6</v>
      </c>
      <c r="H14" s="180">
        <f>=H13/H15</f>
        <v>213.092550790068</v>
      </c>
      <c r="I14" s="180">
        <f>=I13/I15</f>
        <v>181.30081300813</v>
      </c>
      <c r="J14" s="180">
        <f>=J13/J15</f>
        <v>246.906187624751</v>
      </c>
      <c r="K14" s="180">
        <f>=K13/K15</f>
        <v>259.196617336152</v>
      </c>
      <c r="L14" s="180">
        <f>=L13/L15</f>
        <v>268.377823408624</v>
      </c>
      <c r="M14" s="180">
        <f>=M13/M15</f>
        <v>290.809628008753</v>
      </c>
      <c r="N14" s="180">
        <f>=N13/N15</f>
        <v>259.670781893004</v>
      </c>
      <c r="O14" s="147">
        <v>285.7</v>
      </c>
      <c r="P14" s="147">
        <v>322.6</v>
      </c>
      <c r="Q14" s="147">
        <v>332.2</v>
      </c>
      <c r="R14" s="147">
        <v>342.9</v>
      </c>
      <c r="S14" s="149">
        <v>327.2</v>
      </c>
      <c r="T14" s="148">
        <v>234.6</v>
      </c>
      <c r="U14" s="148">
        <v>167.2</v>
      </c>
      <c r="V14" s="150" t="s"/>
      <c r="W14" s="148">
        <f>=SUM(H14:S14)</f>
        <v>3329.95440206948</v>
      </c>
      <c r="X14" s="148" t="s">
        <v>2504</v>
      </c>
      <c r="Y14" s="148" t="s">
        <v>2505</v>
      </c>
      <c r="Z14" s="178">
        <v>0.02</v>
      </c>
      <c r="AA14" s="152" t="s">
        <v>2506</v>
      </c>
    </row>
    <row r="15" spans="2:27" ht="16.2">
      <c r="B15" s="181" t="s"/>
      <c r="C15" s="182" t="s">
        <v>2507</v>
      </c>
      <c r="D15" s="183" t="s">
        <v>2508</v>
      </c>
      <c r="E15" s="184">
        <f>=E13/E14</f>
        <v>0.256365396069089</v>
      </c>
      <c r="F15" s="184">
        <f>=F13/F14</f>
        <v>0.315511397620788</v>
      </c>
      <c r="G15" s="184">
        <f>=G13/G14</f>
        <v>0.409275989311617</v>
      </c>
      <c r="H15" s="184">
        <v>0.443</v>
      </c>
      <c r="I15" s="184">
        <v>0.492</v>
      </c>
      <c r="J15" s="184">
        <v>0.501</v>
      </c>
      <c r="K15" s="184">
        <v>0.473</v>
      </c>
      <c r="L15" s="184">
        <v>0.487</v>
      </c>
      <c r="M15" s="184">
        <v>0.457</v>
      </c>
      <c r="N15" s="184">
        <v>0.486</v>
      </c>
      <c r="O15" s="184">
        <f>=O13/O14</f>
        <v>0.488274413720686</v>
      </c>
      <c r="P15" s="184">
        <f>=P13/P14</f>
        <v>0.497210167389957</v>
      </c>
      <c r="Q15" s="184">
        <f>=Q13/Q14</f>
        <v>0.516255267910897</v>
      </c>
      <c r="R15" s="184">
        <f>=R13/R14</f>
        <v>0.531641878098571</v>
      </c>
      <c r="S15" s="184">
        <f>=S13/S14</f>
        <v>0.522616136919316</v>
      </c>
      <c r="T15" s="184">
        <f>=T13/T14</f>
        <v>0.402813299232737</v>
      </c>
      <c r="U15" s="184">
        <f>=U13/U14</f>
        <v>0.457535885167464</v>
      </c>
      <c r="V15" s="185" t="s"/>
      <c r="W15" s="184">
        <f>=W13/W14</f>
        <v>0.493820575734625</v>
      </c>
      <c r="X15" s="186" t="s">
        <v>2509</v>
      </c>
      <c r="Y15" s="186" t="s">
        <v>2510</v>
      </c>
      <c r="Z15" s="186" t="s">
        <v>53</v>
      </c>
      <c r="AA15" s="187" t="s">
        <v>2511</v>
      </c>
    </row>
    <row r="16" spans="2:27">
      <c r="B16" s="155" t="s"/>
      <c r="C16" s="155" t="s"/>
      <c r="D16" s="155" t="s"/>
      <c r="E16" s="155" t="s"/>
      <c r="F16" s="155" t="s"/>
      <c r="G16" s="155" t="s"/>
      <c r="H16" s="155" t="s"/>
      <c r="I16" s="155" t="s"/>
      <c r="J16" s="155" t="s"/>
      <c r="K16" s="155" t="s"/>
      <c r="L16" s="155" t="s"/>
      <c r="M16" s="155" t="s"/>
      <c r="N16" s="155" t="s"/>
      <c r="O16" s="155" t="s"/>
      <c r="P16" s="155" t="s"/>
      <c r="Q16" s="155" t="s"/>
      <c r="R16" s="155" t="s"/>
      <c r="S16" s="155" t="s"/>
      <c r="T16" s="155" t="s"/>
      <c r="U16" s="155" t="s"/>
      <c r="V16" s="188" t="s"/>
      <c r="W16" s="155" t="s"/>
      <c r="X16" s="155" t="s"/>
      <c r="Y16" s="155" t="s"/>
      <c r="Z16" s="155" t="s"/>
      <c r="AA16" s="155" t="s"/>
    </row>
    <row r="17" spans="2:27" ht="16.2">
      <c r="B17" s="140" t="s"/>
      <c r="C17" s="141" t="s">
        <v>2512</v>
      </c>
      <c r="D17" s="141" t="s">
        <v>2447</v>
      </c>
      <c r="E17" s="141">
        <v>2022</v>
      </c>
      <c r="F17" s="141">
        <v>2023</v>
      </c>
      <c r="G17" s="141">
        <v>2024</v>
      </c>
      <c r="H17" s="141">
        <v>2025</v>
      </c>
      <c r="I17" s="141" t="s">
        <v>2459</v>
      </c>
      <c r="J17" s="141" t="s">
        <v>2460</v>
      </c>
      <c r="K17" s="141" t="s">
        <v>2462</v>
      </c>
      <c r="L17" s="141" t="s"/>
      <c r="M17" s="141" t="s"/>
      <c r="N17" s="141" t="s"/>
      <c r="O17" s="141" t="s"/>
      <c r="P17" s="141" t="s"/>
      <c r="Q17" s="189" t="s"/>
      <c r="R17" s="190" t="s"/>
      <c r="S17" s="190" t="s"/>
      <c r="T17" s="190" t="s"/>
      <c r="U17" s="190" t="s"/>
      <c r="V17" s="191" t="s"/>
      <c r="W17" s="190" t="s"/>
      <c r="X17" s="190" t="s"/>
      <c r="Y17" s="190" t="s"/>
      <c r="Z17" s="190" t="s"/>
      <c r="AA17" s="192" t="s"/>
    </row>
    <row r="18" spans="2:27" ht="16.2">
      <c r="B18" s="145" t="s">
        <v>2463</v>
      </c>
      <c r="C18" s="146" t="s">
        <v>2464</v>
      </c>
      <c r="D18" s="147" t="s">
        <v>2465</v>
      </c>
      <c r="E18" s="193">
        <v>239</v>
      </c>
      <c r="F18" s="193">
        <v>456</v>
      </c>
      <c r="G18" s="193">
        <v>602</v>
      </c>
      <c r="H18" s="193" t="s"/>
      <c r="I18" s="193">
        <v>649</v>
      </c>
      <c r="J18" s="193" t="s">
        <v>2513</v>
      </c>
      <c r="K18" s="152" t="s">
        <v>2514</v>
      </c>
      <c r="L18" s="152" t="s"/>
      <c r="M18" s="152" t="s"/>
      <c r="N18" s="152" t="s"/>
      <c r="O18" s="152" t="s"/>
      <c r="P18" s="152" t="s"/>
      <c r="Q18" s="190" t="s"/>
      <c r="R18" s="190" t="s"/>
      <c r="S18" s="190" t="s"/>
      <c r="T18" s="190" t="s"/>
      <c r="U18" s="190" t="s"/>
      <c r="V18" s="191" t="s"/>
      <c r="W18" s="190" t="s"/>
      <c r="X18" s="190" t="s"/>
      <c r="Y18" s="190" t="s"/>
      <c r="Z18" s="190" t="s"/>
      <c r="AA18" s="192" t="s"/>
    </row>
    <row r="19" spans="2:27" ht="16.2">
      <c r="B19" s="145" t="s"/>
      <c r="C19" s="146" t="s">
        <v>2470</v>
      </c>
      <c r="D19" s="147" t="s">
        <v>2465</v>
      </c>
      <c r="E19" s="193">
        <v>370</v>
      </c>
      <c r="F19" s="193">
        <v>644</v>
      </c>
      <c r="G19" s="193">
        <v>753</v>
      </c>
      <c r="I19" s="193" t="s">
        <v>2515</v>
      </c>
      <c r="J19" s="193">
        <v>1200</v>
      </c>
      <c r="K19" s="151" t="s">
        <v>2516</v>
      </c>
      <c r="L19" s="152" t="s"/>
      <c r="M19" s="152" t="s"/>
      <c r="N19" s="152" t="s"/>
      <c r="O19" s="152" t="s"/>
      <c r="P19" s="152" t="s"/>
      <c r="Q19" s="190" t="s"/>
      <c r="R19" s="190" t="s"/>
      <c r="S19" s="190" t="s"/>
      <c r="T19" s="190" t="s"/>
      <c r="U19" s="190" t="s"/>
      <c r="V19" s="191" t="s"/>
      <c r="W19" s="190" t="s"/>
      <c r="X19" s="190" t="s"/>
      <c r="Y19" s="190" t="s"/>
      <c r="Z19" s="190" t="s"/>
      <c r="AA19" s="192" t="s"/>
    </row>
    <row r="20" spans="2:27" ht="16.2">
      <c r="B20" s="153" t="s">
        <v>2476</v>
      </c>
      <c r="C20" s="154" t="s">
        <v>2477</v>
      </c>
      <c r="D20" s="155" t="s">
        <v>2478</v>
      </c>
      <c r="E20" s="194">
        <v>957.7</v>
      </c>
      <c r="F20" s="194">
        <v>1202.6</v>
      </c>
      <c r="G20" s="194">
        <v>1545.1</v>
      </c>
      <c r="H20" s="194">
        <v>2280.5</v>
      </c>
      <c r="I20" s="194" t="s">
        <v>2500</v>
      </c>
      <c r="J20" s="194">
        <v>3100</v>
      </c>
      <c r="K20" s="195" t="s">
        <v>2517</v>
      </c>
      <c r="L20" s="195" t="s"/>
      <c r="M20" s="195" t="s"/>
      <c r="N20" s="195" t="s"/>
      <c r="O20" s="195" t="s"/>
      <c r="P20" s="195" t="s"/>
      <c r="Q20" s="190" t="s"/>
      <c r="R20" s="190" t="s"/>
      <c r="S20" s="190" t="s"/>
      <c r="T20" s="190" t="s"/>
      <c r="U20" s="190" t="s"/>
      <c r="V20" s="191" t="s"/>
      <c r="W20" s="190" t="s"/>
      <c r="X20" s="190" t="s"/>
      <c r="Y20" s="190" t="s"/>
      <c r="Z20" s="190" t="s"/>
      <c r="AA20" s="192" t="s"/>
    </row>
    <row r="21" spans="2:27" ht="16.2">
      <c r="B21" s="153" t="s"/>
      <c r="C21" s="154" t="s">
        <v>2483</v>
      </c>
      <c r="D21" s="155" t="s">
        <v>2478</v>
      </c>
      <c r="E21" s="194">
        <v>684.2</v>
      </c>
      <c r="F21" s="194">
        <v>886.1</v>
      </c>
      <c r="G21" s="194">
        <v>1100</v>
      </c>
      <c r="H21" s="194">
        <v>1495.1</v>
      </c>
      <c r="I21" s="194" t="s">
        <v>53</v>
      </c>
      <c r="J21" s="194" t="s">
        <v>53</v>
      </c>
      <c r="K21" s="195" t="s">
        <v>2518</v>
      </c>
      <c r="L21" s="195" t="s"/>
      <c r="M21" s="195" t="s"/>
      <c r="N21" s="195" t="s"/>
      <c r="O21" s="195" t="s"/>
      <c r="P21" s="195" t="s"/>
      <c r="Q21" s="190" t="s"/>
      <c r="R21" s="190" t="s"/>
      <c r="S21" s="190" t="s"/>
      <c r="T21" s="190" t="s"/>
      <c r="U21" s="190" t="s"/>
      <c r="V21" s="191" t="s"/>
      <c r="W21" s="190" t="s"/>
      <c r="X21" s="190" t="s"/>
      <c r="Y21" s="190" t="s"/>
      <c r="Z21" s="190" t="s"/>
      <c r="AA21" s="192" t="s"/>
    </row>
    <row r="22" spans="2:27" ht="16.2">
      <c r="B22" s="153" t="s"/>
      <c r="C22" s="154" t="s">
        <v>2486</v>
      </c>
      <c r="D22" s="155" t="s">
        <v>2478</v>
      </c>
      <c r="E22" s="194">
        <v>517.9</v>
      </c>
      <c r="F22" s="194">
        <v>705.5</v>
      </c>
      <c r="G22" s="194">
        <v>850</v>
      </c>
      <c r="H22" s="194">
        <v>1187</v>
      </c>
      <c r="I22" s="194" t="s">
        <v>53</v>
      </c>
      <c r="J22" s="194" t="s">
        <v>53</v>
      </c>
      <c r="K22" s="195" t="s">
        <v>2519</v>
      </c>
      <c r="L22" s="195" t="s"/>
      <c r="M22" s="195" t="s"/>
      <c r="N22" s="195" t="s"/>
      <c r="O22" s="195" t="s"/>
      <c r="P22" s="195" t="s"/>
      <c r="Q22" s="190" t="s"/>
      <c r="R22" s="190" t="s"/>
      <c r="S22" s="190" t="s"/>
      <c r="T22" s="190" t="s"/>
      <c r="U22" s="190" t="s"/>
      <c r="V22" s="191" t="s"/>
      <c r="W22" s="190" t="s"/>
      <c r="X22" s="190" t="s"/>
      <c r="Y22" s="190" t="s"/>
      <c r="Z22" s="190" t="s"/>
      <c r="AA22" s="192" t="s"/>
    </row>
    <row r="23" spans="2:27" ht="16.2">
      <c r="B23" s="145" t="s">
        <v>2493</v>
      </c>
      <c r="C23" s="146" t="s">
        <v>2494</v>
      </c>
      <c r="D23" s="147" t="s">
        <v>2495</v>
      </c>
      <c r="E23" s="147">
        <v>1075</v>
      </c>
      <c r="F23" s="147">
        <v>1420</v>
      </c>
      <c r="G23" s="147">
        <v>1730</v>
      </c>
      <c r="H23" s="147" t="s"/>
      <c r="I23" s="148">
        <v>2550</v>
      </c>
      <c r="J23" s="148" t="s">
        <v>53</v>
      </c>
      <c r="K23" s="151" t="s">
        <v>2520</v>
      </c>
      <c r="L23" s="152" t="s"/>
      <c r="M23" s="152" t="s"/>
      <c r="N23" s="152" t="s"/>
      <c r="O23" s="152" t="s"/>
      <c r="P23" s="152" t="s"/>
      <c r="Q23" s="190" t="s"/>
      <c r="R23" s="190" t="s"/>
      <c r="S23" s="190" t="s"/>
      <c r="T23" s="190" t="s"/>
      <c r="U23" s="190" t="s"/>
      <c r="V23" s="191" t="s"/>
      <c r="W23" s="190" t="s"/>
      <c r="X23" s="190" t="s"/>
      <c r="Y23" s="190" t="s"/>
      <c r="Z23" s="190" t="s"/>
      <c r="AA23" s="192" t="s"/>
    </row>
    <row r="24" spans="2:27" ht="16.2">
      <c r="B24" s="145" t="s"/>
      <c r="C24" s="146" t="s">
        <v>2499</v>
      </c>
      <c r="D24" s="147" t="s">
        <v>2495</v>
      </c>
      <c r="E24" s="147">
        <v>1031</v>
      </c>
      <c r="F24" s="147">
        <v>1350</v>
      </c>
      <c r="G24" s="147">
        <v>1824</v>
      </c>
      <c r="H24" s="149">
        <v>2354.2</v>
      </c>
      <c r="I24" s="148">
        <v>2365</v>
      </c>
      <c r="J24" s="196">
        <f>=J25*J26</f>
        <v>3438.4</v>
      </c>
      <c r="K24" s="148" t="s">
        <v>2521</v>
      </c>
      <c r="L24" s="148" t="s"/>
      <c r="M24" s="148" t="s"/>
      <c r="N24" s="148" t="s"/>
      <c r="O24" s="148" t="s"/>
      <c r="P24" s="197" t="s"/>
      <c r="Q24" s="189" t="s"/>
      <c r="R24" s="190" t="s"/>
      <c r="S24" s="190" t="s"/>
      <c r="T24" s="190" t="s"/>
      <c r="U24" s="190" t="s"/>
      <c r="V24" s="191" t="s"/>
      <c r="W24" s="190" t="s"/>
      <c r="X24" s="190" t="s"/>
      <c r="Y24" s="190" t="s"/>
      <c r="Z24" s="190" t="s"/>
      <c r="AA24" s="192" t="s"/>
    </row>
    <row r="25" spans="2:27" ht="16.2">
      <c r="B25" s="145" t="s"/>
      <c r="C25" s="146" t="s">
        <v>2522</v>
      </c>
      <c r="D25" s="147" t="s">
        <v>2495</v>
      </c>
      <c r="E25" s="147">
        <v>7672</v>
      </c>
      <c r="F25" s="147">
        <v>7826</v>
      </c>
      <c r="G25" s="147">
        <v>8100</v>
      </c>
      <c r="H25" s="149">
        <v>9550</v>
      </c>
      <c r="I25" s="148">
        <v>8427</v>
      </c>
      <c r="J25" s="148">
        <v>8596</v>
      </c>
      <c r="K25" s="152" t="s">
        <v>2523</v>
      </c>
      <c r="L25" s="152" t="s"/>
      <c r="M25" s="152" t="s"/>
      <c r="N25" s="152" t="s"/>
      <c r="O25" s="152" t="s"/>
      <c r="P25" s="147" t="s"/>
      <c r="Q25" s="189" t="s"/>
      <c r="R25" s="190" t="s"/>
      <c r="S25" s="190" t="s"/>
      <c r="T25" s="190" t="s"/>
      <c r="U25" s="190" t="s"/>
      <c r="V25" s="191" t="s"/>
      <c r="W25" s="190" t="s"/>
      <c r="X25" s="190" t="s"/>
      <c r="Y25" s="190" t="s"/>
      <c r="Z25" s="190" t="s"/>
      <c r="AA25" s="192" t="s"/>
    </row>
    <row r="26" spans="2:27" ht="16.2">
      <c r="B26" s="181" t="s"/>
      <c r="C26" s="182" t="s">
        <v>2507</v>
      </c>
      <c r="D26" s="183" t="s">
        <v>2508</v>
      </c>
      <c r="E26" s="184">
        <f>=E24/E25</f>
        <v>0.134384775808133</v>
      </c>
      <c r="F26" s="184">
        <f>=F24/F25</f>
        <v>0.172501916687963</v>
      </c>
      <c r="G26" s="184">
        <f>=G24/G25</f>
        <v>0.225185185185185</v>
      </c>
      <c r="H26" s="184" t="s"/>
      <c r="I26" s="184">
        <f>=I24/I25</f>
        <v>0.28064554408449</v>
      </c>
      <c r="J26" s="184">
        <v>0.4</v>
      </c>
      <c r="K26" s="183" t="s">
        <v>2524</v>
      </c>
      <c r="L26" s="183" t="s"/>
      <c r="M26" s="183" t="s"/>
      <c r="N26" s="183" t="s"/>
      <c r="O26" s="183" t="s"/>
      <c r="P26" s="183" t="s"/>
      <c r="Q26" s="189" t="s"/>
      <c r="R26" s="190" t="s"/>
      <c r="S26" s="190" t="s"/>
      <c r="T26" s="190" t="s"/>
      <c r="U26" s="190" t="s"/>
      <c r="V26" s="191" t="s"/>
      <c r="W26" s="190" t="s"/>
      <c r="X26" s="190" t="s"/>
      <c r="Y26" s="190" t="s"/>
      <c r="Z26" s="190" t="s"/>
      <c r="AA26" s="192" t="s"/>
    </row>
    <row r="28" spans="5:12" ht="16.2">
      <c r="E28" s="190" t="s"/>
      <c r="F28" s="190" t="s"/>
      <c r="G28" s="190" t="s"/>
      <c r="H28" s="190" t="s"/>
      <c r="I28" s="190" t="s"/>
      <c r="J28" s="190" t="s"/>
      <c r="K28" s="190" t="s"/>
      <c r="L28" s="190" t="s"/>
    </row>
    <row r="29" spans="4:12">
      <c r="D29" s="198" t="s"/>
      <c r="E29" s="198" t="s"/>
      <c r="F29" s="198" t="s"/>
      <c r="G29" s="198" t="s"/>
      <c r="H29" s="198" t="s"/>
      <c r="I29" s="198" t="s"/>
      <c r="J29" s="198" t="s"/>
      <c r="K29" s="198" t="s"/>
      <c r="L29" s="198" t="s"/>
    </row>
    <row r="30" spans="4:12" ht="16.2">
      <c r="D30" s="198" t="s"/>
      <c r="E30" s="199" t="s"/>
      <c r="F30" s="198" t="s"/>
      <c r="G30" s="198" t="s"/>
      <c r="H30" s="198" t="s"/>
      <c r="I30" s="198" t="s"/>
      <c r="J30" s="198" t="s"/>
      <c r="K30" s="198" t="s"/>
      <c r="L30" s="198" t="s"/>
    </row>
    <row r="31" spans="4:12">
      <c r="D31" s="198" t="s"/>
      <c r="E31" s="198" t="s"/>
      <c r="F31" s="198" t="s"/>
      <c r="G31" s="198" t="s"/>
      <c r="H31" s="198" t="s"/>
      <c r="I31" s="198" t="s"/>
      <c r="J31" s="198" t="s"/>
      <c r="K31" s="198" t="s"/>
      <c r="L31" s="198" t="s"/>
    </row>
    <row r="32" spans="4:12">
      <c r="D32" s="198" t="s"/>
      <c r="E32" s="198" t="s"/>
      <c r="F32" s="198" t="s"/>
      <c r="G32" s="198" t="s"/>
      <c r="H32" s="198" t="s"/>
      <c r="I32" s="198" t="s"/>
      <c r="J32" s="198" t="s"/>
      <c r="K32" s="198" t="s"/>
      <c r="L32" s="198" t="s"/>
    </row>
    <row r="33" spans="4:12">
      <c r="D33" s="198" t="s"/>
      <c r="E33" s="198" t="s"/>
      <c r="F33" s="198" t="s"/>
      <c r="G33" s="198" t="s"/>
      <c r="H33" s="198" t="s"/>
      <c r="I33" s="198" t="s"/>
      <c r="J33" s="198" t="s"/>
      <c r="K33" s="198" t="s"/>
      <c r="L33" s="198" t="s"/>
    </row>
    <row r="34" spans="4:12">
      <c r="D34" s="198" t="s"/>
      <c r="E34" s="198" t="s"/>
      <c r="F34" s="198" t="s"/>
      <c r="G34" s="198" t="s"/>
      <c r="H34" s="198" t="s"/>
      <c r="I34" s="198" t="s"/>
      <c r="J34" s="198" t="s"/>
      <c r="K34" s="198" t="s"/>
      <c r="L34" s="198" t="s"/>
    </row>
    <row r="35" spans="4:12">
      <c r="D35" s="198" t="s"/>
      <c r="E35" s="198" t="s"/>
      <c r="F35" s="198" t="s"/>
      <c r="G35" s="198" t="s"/>
      <c r="H35" s="198" t="s"/>
      <c r="I35" s="198" t="s"/>
      <c r="J35" s="198" t="s"/>
      <c r="K35" s="198" t="s"/>
      <c r="L35" s="198" t="s"/>
    </row>
    <row r="36" spans="4:12">
      <c r="D36" s="198" t="s"/>
      <c r="E36" s="198" t="s"/>
      <c r="F36" s="198" t="s"/>
      <c r="G36" s="198" t="s"/>
      <c r="H36" s="198" t="s"/>
      <c r="I36" s="198" t="s"/>
      <c r="J36" s="198" t="s"/>
      <c r="K36" s="198" t="s"/>
      <c r="L36" s="198" t="s"/>
    </row>
    <row r="37" spans="4:12">
      <c r="D37" s="198" t="s"/>
      <c r="E37" s="198" t="s"/>
      <c r="F37" s="198" t="s"/>
      <c r="G37" s="198" t="s"/>
      <c r="H37" s="198" t="s"/>
      <c r="I37" s="198" t="s"/>
      <c r="J37" s="198" t="s"/>
      <c r="K37" s="198" t="s"/>
      <c r="L37" s="198" t="s"/>
    </row>
    <row r="38" spans="4:12">
      <c r="D38" s="198" t="s"/>
      <c r="E38" s="198" t="s"/>
      <c r="F38" s="198" t="s"/>
      <c r="G38" s="198" t="s"/>
      <c r="H38" s="198" t="s"/>
      <c r="I38" s="198" t="s"/>
      <c r="J38" s="198" t="s"/>
      <c r="K38" s="198" t="s"/>
      <c r="L38" s="198" t="s"/>
    </row>
    <row r="39" spans="4:12">
      <c r="D39" s="198" t="s"/>
      <c r="E39" s="198" t="s"/>
      <c r="F39" s="198" t="s"/>
      <c r="G39" s="198" t="s"/>
      <c r="H39" s="198" t="s"/>
      <c r="I39" s="198" t="s"/>
      <c r="J39" s="198" t="s"/>
      <c r="K39" s="198" t="s"/>
      <c r="L39" s="198" t="s"/>
    </row>
    <row r="40" spans="4:12">
      <c r="D40" s="198" t="s"/>
      <c r="E40" s="198" t="s"/>
      <c r="F40" s="198" t="s"/>
      <c r="G40" s="198" t="s"/>
      <c r="H40" s="198" t="s"/>
      <c r="I40" s="198" t="s"/>
      <c r="J40" s="198" t="s"/>
      <c r="K40" s="198" t="s"/>
      <c r="L40" s="198" t="s"/>
    </row>
    <row r="41" spans="4:12">
      <c r="D41" s="198" t="s"/>
      <c r="E41" s="198" t="s"/>
      <c r="F41" s="198" t="s"/>
      <c r="G41" s="198" t="s"/>
      <c r="H41" s="198" t="s"/>
      <c r="I41" s="198" t="s"/>
      <c r="J41" s="198" t="s"/>
      <c r="K41" s="198" t="s"/>
      <c r="L41" s="198" t="s"/>
    </row>
  </sheetData>
  <mergeCells count="20">
    <mergeCell ref="B18:B19"/>
    <mergeCell ref="B20:B22"/>
    <mergeCell ref="B23:B26"/>
    <mergeCell ref="H3:I3"/>
    <mergeCell ref="H4:I4"/>
    <mergeCell ref="B3:B5"/>
    <mergeCell ref="B6:B11"/>
    <mergeCell ref="B12:B15"/>
    <mergeCell ref="K26:P26"/>
    <mergeCell ref="K23:P23"/>
    <mergeCell ref="K24:P24"/>
    <mergeCell ref="K25:P25"/>
    <mergeCell ref="K17:P17"/>
    <mergeCell ref="K18:P18"/>
    <mergeCell ref="K19:P19"/>
    <mergeCell ref="K20:P20"/>
    <mergeCell ref="K21:P21"/>
    <mergeCell ref="K22:P22"/>
    <mergeCell ref="T3:U3"/>
    <mergeCell ref="T4:U4"/>
  </mergeCells>
  <pageMargins left="0.7" right="0.7" top="0.75" bottom="0.75" header="0.3" footer="0.3"/>
  <pageSetup paperSize="9" orientation="portrait"/>
</worksheet>
</file>

<file path=xl/worksheets/sheet2.xml><?xml version="1.0" encoding="utf-8"?>
<worksheet xmlns="http://schemas.openxmlformats.org/spreadsheetml/2006/main">
  <sheetPr/>
  <dimension ref="Z856"/>
  <sheetViews>
    <sheetView showGridLines="false" workbookViewId="0"/>
  </sheetViews>
  <sheetFormatPr baseColWidth="8" defaultRowHeight="17.4"/>
  <cols>
    <col min="1" max="1" width="19.5547" style="380" customWidth="true"/>
    <col min="2" max="2" width="44.1094" style="381" customWidth="true"/>
    <col min="3" max="3" width="22.6641" style="381" customWidth="true"/>
    <col min="4" max="4" width="15" style="381" customWidth="true"/>
    <col min="5" max="5" width="67.1094" style="381" customWidth="true"/>
    <col min="6" max="26" width="8.88672" style="382"/>
  </cols>
  <sheetData>
    <row r="1" spans="1:26" s="379" customFormat="true">
      <c r="A1" s="21" t="s">
        <v>134</v>
      </c>
      <c r="F1" s="22" t="s"/>
      <c r="G1" s="22" t="s"/>
      <c r="H1" s="22" t="s"/>
      <c r="I1" s="22" t="s"/>
      <c r="J1" s="22" t="s"/>
      <c r="K1" s="22" t="s"/>
      <c r="L1" s="22" t="s"/>
      <c r="M1" s="22" t="s"/>
      <c r="N1" s="22" t="s"/>
      <c r="O1" s="22" t="s"/>
      <c r="P1" s="22" t="s"/>
      <c r="Q1" s="22" t="s"/>
      <c r="R1" s="22" t="s"/>
      <c r="S1" s="22" t="s"/>
      <c r="T1" s="22" t="s"/>
      <c r="U1" s="22" t="s"/>
      <c r="V1" s="22" t="s"/>
      <c r="W1" s="22" t="s"/>
      <c r="X1" s="22" t="s"/>
      <c r="Y1" s="22" t="s"/>
      <c r="Z1" s="22" t="s"/>
    </row>
    <row r="2" spans="1:5">
      <c r="A2" s="23">
        <v>45992</v>
      </c>
      <c r="B2" s="24" t="s"/>
      <c r="C2" s="24" t="s"/>
      <c r="D2" s="24" t="s"/>
      <c r="E2" s="25" t="s"/>
    </row>
    <row r="3" spans="1:5" ht="16.8" customHeight="true">
      <c r="A3" s="26" t="s">
        <v>135</v>
      </c>
      <c r="B3" s="27" t="s">
        <v>136</v>
      </c>
      <c r="C3" s="27" t="s">
        <v>137</v>
      </c>
      <c r="D3" s="27" t="s">
        <v>138</v>
      </c>
      <c r="E3" s="28" t="s">
        <v>139</v>
      </c>
    </row>
    <row r="4" spans="1:5" ht="16.8" customHeight="true">
      <c r="A4" s="29" t="s">
        <v>140</v>
      </c>
      <c r="B4" s="30" t="s">
        <v>141</v>
      </c>
      <c r="C4" s="30" t="s">
        <v>142</v>
      </c>
      <c r="D4" s="30" t="s">
        <v>143</v>
      </c>
      <c r="E4" s="31" t="s">
        <v>144</v>
      </c>
    </row>
    <row r="5" spans="1:5" ht="16.8" customHeight="true">
      <c r="A5" s="29" t="s">
        <v>145</v>
      </c>
      <c r="B5" s="30" t="s">
        <v>146</v>
      </c>
      <c r="C5" s="30" t="s">
        <v>147</v>
      </c>
      <c r="D5" s="30" t="s">
        <v>148</v>
      </c>
      <c r="E5" s="31" t="s">
        <v>149</v>
      </c>
    </row>
    <row r="6" spans="1:5" ht="16.8" customHeight="true">
      <c r="A6" s="29" t="s">
        <v>150</v>
      </c>
      <c r="B6" s="30" t="s">
        <v>151</v>
      </c>
      <c r="C6" s="30" t="s">
        <v>152</v>
      </c>
      <c r="D6" s="30" t="s">
        <v>153</v>
      </c>
      <c r="E6" s="31" t="s">
        <v>154</v>
      </c>
    </row>
    <row r="7" spans="1:5" ht="16.8" customHeight="true">
      <c r="A7" s="29" t="s">
        <v>155</v>
      </c>
      <c r="B7" s="30" t="s">
        <v>156</v>
      </c>
      <c r="C7" s="30" t="s">
        <v>152</v>
      </c>
      <c r="D7" s="30" t="s">
        <v>157</v>
      </c>
      <c r="E7" s="31" t="s">
        <v>158</v>
      </c>
    </row>
    <row r="8" spans="1:5" ht="16.8" customHeight="true">
      <c r="A8" s="29" t="s">
        <v>159</v>
      </c>
      <c r="B8" s="30" t="s">
        <v>160</v>
      </c>
      <c r="C8" s="30" t="s">
        <v>161</v>
      </c>
      <c r="D8" s="30" t="s"/>
      <c r="E8" s="31" t="s">
        <v>162</v>
      </c>
    </row>
    <row r="9" spans="1:5" ht="16.8" customHeight="true">
      <c r="A9" s="29" t="s">
        <v>163</v>
      </c>
      <c r="B9" s="30" t="s">
        <v>164</v>
      </c>
      <c r="C9" s="30" t="s">
        <v>165</v>
      </c>
      <c r="D9" s="30" t="s"/>
      <c r="E9" s="31" t="s">
        <v>166</v>
      </c>
    </row>
    <row r="10" spans="1:5" ht="16.8" customHeight="true">
      <c r="A10" s="29" t="s">
        <v>167</v>
      </c>
      <c r="B10" s="30" t="s">
        <v>168</v>
      </c>
      <c r="C10" s="30" t="s">
        <v>169</v>
      </c>
      <c r="D10" s="30" t="s">
        <v>170</v>
      </c>
      <c r="E10" s="31" t="s">
        <v>171</v>
      </c>
    </row>
    <row r="11" spans="1:5" ht="16.8" customHeight="true">
      <c r="A11" s="29" t="s">
        <v>172</v>
      </c>
      <c r="B11" s="30" t="s">
        <v>173</v>
      </c>
      <c r="C11" s="30" t="s">
        <v>165</v>
      </c>
      <c r="D11" s="30" t="s"/>
      <c r="E11" s="31" t="s">
        <v>174</v>
      </c>
    </row>
    <row r="12" spans="1:5" ht="16.8" customHeight="true">
      <c r="A12" s="29" t="s">
        <v>175</v>
      </c>
      <c r="B12" s="30" t="s">
        <v>176</v>
      </c>
      <c r="C12" s="30" t="s">
        <v>165</v>
      </c>
      <c r="D12" s="30" t="s"/>
      <c r="E12" s="31" t="s">
        <v>177</v>
      </c>
    </row>
    <row r="13" spans="1:5" ht="16.8" customHeight="true">
      <c r="A13" s="29" t="s">
        <v>178</v>
      </c>
      <c r="B13" s="30" t="s">
        <v>179</v>
      </c>
      <c r="C13" s="30" t="s">
        <v>165</v>
      </c>
      <c r="D13" s="30" t="s"/>
      <c r="E13" s="31" t="s">
        <v>180</v>
      </c>
    </row>
    <row r="14" spans="1:5" ht="16.8" customHeight="true">
      <c r="A14" s="29" t="s">
        <v>181</v>
      </c>
      <c r="B14" s="30" t="s">
        <v>182</v>
      </c>
      <c r="C14" s="30" t="s">
        <v>152</v>
      </c>
      <c r="D14" s="30" t="s">
        <v>183</v>
      </c>
      <c r="E14" s="31" t="s">
        <v>184</v>
      </c>
    </row>
    <row r="15" spans="1:5" ht="16.8" customHeight="true">
      <c r="A15" s="29" t="s">
        <v>185</v>
      </c>
      <c r="B15" s="30" t="s">
        <v>186</v>
      </c>
      <c r="C15" s="30" t="s">
        <v>165</v>
      </c>
      <c r="D15" s="30" t="s"/>
      <c r="E15" s="31" t="s">
        <v>187</v>
      </c>
    </row>
    <row r="16" spans="1:5" ht="16.8" customHeight="true">
      <c r="A16" s="29" t="s">
        <v>188</v>
      </c>
      <c r="B16" s="30" t="s">
        <v>189</v>
      </c>
      <c r="C16" s="30" t="s">
        <v>165</v>
      </c>
      <c r="D16" s="30" t="s"/>
      <c r="E16" s="31" t="s">
        <v>190</v>
      </c>
    </row>
    <row r="17" spans="1:5" ht="16.8" customHeight="true">
      <c r="A17" s="29" t="s">
        <v>191</v>
      </c>
      <c r="B17" s="30" t="s">
        <v>192</v>
      </c>
      <c r="C17" s="30" t="s">
        <v>165</v>
      </c>
      <c r="D17" s="30" t="s"/>
      <c r="E17" s="31" t="s">
        <v>193</v>
      </c>
    </row>
    <row r="18" spans="1:5" ht="16.8" customHeight="true">
      <c r="A18" s="29" t="s">
        <v>194</v>
      </c>
      <c r="B18" s="30" t="s">
        <v>195</v>
      </c>
      <c r="C18" s="30" t="s">
        <v>165</v>
      </c>
      <c r="D18" s="30" t="s"/>
      <c r="E18" s="31" t="s">
        <v>196</v>
      </c>
    </row>
    <row r="19" spans="1:5" ht="16.8" customHeight="true">
      <c r="A19" s="29" t="s">
        <v>197</v>
      </c>
      <c r="B19" s="30" t="s">
        <v>198</v>
      </c>
      <c r="C19" s="30" t="s">
        <v>165</v>
      </c>
      <c r="D19" s="30" t="s"/>
      <c r="E19" s="31" t="s">
        <v>199</v>
      </c>
    </row>
    <row r="20" spans="1:5" ht="16.8" customHeight="true">
      <c r="A20" s="29" t="s">
        <v>200</v>
      </c>
      <c r="B20" s="30" t="s">
        <v>201</v>
      </c>
      <c r="C20" s="30" t="s">
        <v>165</v>
      </c>
      <c r="D20" s="30" t="s"/>
      <c r="E20" s="31" t="s">
        <v>202</v>
      </c>
    </row>
    <row r="21" spans="1:5" ht="16.8" customHeight="true">
      <c r="A21" s="29" t="s">
        <v>203</v>
      </c>
      <c r="B21" s="30" t="s">
        <v>204</v>
      </c>
      <c r="C21" s="30" t="s">
        <v>165</v>
      </c>
      <c r="D21" s="30" t="s"/>
      <c r="E21" s="31" t="s">
        <v>205</v>
      </c>
    </row>
    <row r="22" spans="1:5" ht="16.8" customHeight="true">
      <c r="A22" s="29" t="s">
        <v>206</v>
      </c>
      <c r="B22" s="30" t="s">
        <v>207</v>
      </c>
      <c r="C22" s="30" t="s">
        <v>165</v>
      </c>
      <c r="D22" s="30" t="s"/>
      <c r="E22" s="31" t="s">
        <v>208</v>
      </c>
    </row>
    <row r="23" spans="1:5" ht="16.8" customHeight="true">
      <c r="A23" s="29" t="s">
        <v>209</v>
      </c>
      <c r="B23" s="30" t="s">
        <v>210</v>
      </c>
      <c r="C23" s="30" t="s">
        <v>165</v>
      </c>
      <c r="D23" s="30" t="s"/>
      <c r="E23" s="31" t="s">
        <v>211</v>
      </c>
    </row>
    <row r="24" spans="1:5" ht="16.8" customHeight="true">
      <c r="A24" s="29" t="s">
        <v>212</v>
      </c>
      <c r="B24" s="30" t="s">
        <v>213</v>
      </c>
      <c r="C24" s="30" t="s">
        <v>165</v>
      </c>
      <c r="D24" s="30" t="s"/>
      <c r="E24" s="31" t="s">
        <v>214</v>
      </c>
    </row>
    <row r="25" spans="1:5" ht="16.8" customHeight="true">
      <c r="A25" s="29" t="s">
        <v>215</v>
      </c>
      <c r="B25" s="30" t="s">
        <v>216</v>
      </c>
      <c r="C25" s="30" t="s">
        <v>165</v>
      </c>
      <c r="D25" s="30" t="s"/>
      <c r="E25" s="31" t="s">
        <v>217</v>
      </c>
    </row>
    <row r="26" spans="1:5" ht="16.8" customHeight="true">
      <c r="A26" s="29" t="s">
        <v>218</v>
      </c>
      <c r="B26" s="30" t="s">
        <v>219</v>
      </c>
      <c r="C26" s="30" t="s">
        <v>165</v>
      </c>
      <c r="D26" s="30" t="s"/>
      <c r="E26" s="31" t="s">
        <v>220</v>
      </c>
    </row>
    <row r="27" spans="1:5" ht="16.8" customHeight="true">
      <c r="A27" s="29" t="s">
        <v>221</v>
      </c>
      <c r="B27" s="30" t="s">
        <v>222</v>
      </c>
      <c r="C27" s="30" t="s">
        <v>165</v>
      </c>
      <c r="D27" s="30" t="s"/>
      <c r="E27" s="31" t="s">
        <v>223</v>
      </c>
    </row>
    <row r="28" spans="1:5" ht="16.8" customHeight="true">
      <c r="A28" s="29" t="s">
        <v>224</v>
      </c>
      <c r="B28" s="30" t="s">
        <v>225</v>
      </c>
      <c r="C28" s="30" t="s">
        <v>152</v>
      </c>
      <c r="D28" s="30" t="s">
        <v>153</v>
      </c>
      <c r="E28" s="31" t="s">
        <v>226</v>
      </c>
    </row>
    <row r="29" spans="1:5" ht="16.8" customHeight="true">
      <c r="A29" s="29" t="s">
        <v>227</v>
      </c>
      <c r="B29" s="30" t="s">
        <v>228</v>
      </c>
      <c r="C29" s="30" t="s">
        <v>165</v>
      </c>
      <c r="D29" s="30" t="s"/>
      <c r="E29" s="31" t="s">
        <v>229</v>
      </c>
    </row>
    <row r="30" spans="1:5" ht="16.8" customHeight="true">
      <c r="A30" s="29" t="s">
        <v>230</v>
      </c>
      <c r="B30" s="30" t="s">
        <v>231</v>
      </c>
      <c r="C30" s="30" t="s">
        <v>142</v>
      </c>
      <c r="D30" s="30" t="s">
        <v>232</v>
      </c>
      <c r="E30" s="31" t="s">
        <v>233</v>
      </c>
    </row>
    <row r="31" spans="1:5" ht="16.8" customHeight="true">
      <c r="A31" s="29" t="s">
        <v>234</v>
      </c>
      <c r="B31" s="30" t="s">
        <v>235</v>
      </c>
      <c r="C31" s="30" t="s">
        <v>236</v>
      </c>
      <c r="D31" s="30" t="s">
        <v>170</v>
      </c>
      <c r="E31" s="31" t="s">
        <v>237</v>
      </c>
    </row>
    <row r="32" spans="1:5" ht="16.8" customHeight="true">
      <c r="A32" s="29" t="s">
        <v>238</v>
      </c>
      <c r="B32" s="30" t="s">
        <v>239</v>
      </c>
      <c r="C32" s="30" t="s">
        <v>165</v>
      </c>
      <c r="D32" s="30" t="s"/>
      <c r="E32" s="31" t="s">
        <v>240</v>
      </c>
    </row>
    <row r="33" spans="1:5" ht="16.8" customHeight="true">
      <c r="A33" s="29" t="s">
        <v>241</v>
      </c>
      <c r="B33" s="30" t="s">
        <v>242</v>
      </c>
      <c r="C33" s="30" t="s">
        <v>165</v>
      </c>
      <c r="D33" s="30" t="s"/>
      <c r="E33" s="31" t="s">
        <v>243</v>
      </c>
    </row>
    <row r="34" spans="1:5" ht="16.8" customHeight="true">
      <c r="A34" s="29" t="s">
        <v>244</v>
      </c>
      <c r="B34" s="30" t="s">
        <v>245</v>
      </c>
      <c r="C34" s="30" t="s">
        <v>165</v>
      </c>
      <c r="D34" s="30" t="s"/>
      <c r="E34" s="31" t="s">
        <v>246</v>
      </c>
    </row>
    <row r="35" spans="1:5" ht="16.8" customHeight="true">
      <c r="A35" s="29" t="s">
        <v>247</v>
      </c>
      <c r="B35" s="30" t="s">
        <v>248</v>
      </c>
      <c r="C35" s="30" t="s">
        <v>165</v>
      </c>
      <c r="D35" s="30" t="s"/>
      <c r="E35" s="31" t="s">
        <v>249</v>
      </c>
    </row>
    <row r="36" spans="1:5" ht="16.8" customHeight="true">
      <c r="A36" s="29" t="s">
        <v>250</v>
      </c>
      <c r="B36" s="30" t="s">
        <v>251</v>
      </c>
      <c r="C36" s="30" t="s">
        <v>165</v>
      </c>
      <c r="D36" s="30" t="s"/>
      <c r="E36" s="31" t="s">
        <v>252</v>
      </c>
    </row>
    <row r="37" spans="1:5" ht="16.8" customHeight="true">
      <c r="A37" s="29" t="s">
        <v>253</v>
      </c>
      <c r="B37" s="30" t="s">
        <v>254</v>
      </c>
      <c r="C37" s="30" t="s">
        <v>165</v>
      </c>
      <c r="D37" s="30" t="s"/>
      <c r="E37" s="31" t="s">
        <v>255</v>
      </c>
    </row>
    <row r="38" spans="1:5" ht="16.8" customHeight="true">
      <c r="A38" s="29" t="s">
        <v>256</v>
      </c>
      <c r="B38" s="30" t="s">
        <v>257</v>
      </c>
      <c r="C38" s="30" t="s">
        <v>165</v>
      </c>
      <c r="D38" s="30" t="s"/>
      <c r="E38" s="31" t="s">
        <v>258</v>
      </c>
    </row>
    <row r="39" spans="1:5" ht="16.8" customHeight="true">
      <c r="A39" s="29" t="s">
        <v>259</v>
      </c>
      <c r="B39" s="30" t="s">
        <v>182</v>
      </c>
      <c r="C39" s="30" t="s">
        <v>165</v>
      </c>
      <c r="D39" s="30" t="s">
        <v>153</v>
      </c>
      <c r="E39" s="31" t="s">
        <v>260</v>
      </c>
    </row>
    <row r="40" spans="1:5" ht="16.8" customHeight="true">
      <c r="A40" s="29" t="s">
        <v>261</v>
      </c>
      <c r="B40" s="30" t="s">
        <v>262</v>
      </c>
      <c r="C40" s="30" t="s">
        <v>263</v>
      </c>
      <c r="D40" s="30" t="s">
        <v>153</v>
      </c>
      <c r="E40" s="31" t="s">
        <v>264</v>
      </c>
    </row>
    <row r="41" spans="1:5" ht="16.8" customHeight="true">
      <c r="A41" s="29" t="s">
        <v>265</v>
      </c>
      <c r="B41" s="30" t="s">
        <v>266</v>
      </c>
      <c r="C41" s="30" t="s">
        <v>165</v>
      </c>
      <c r="D41" s="30" t="s"/>
      <c r="E41" s="31" t="s">
        <v>267</v>
      </c>
    </row>
    <row r="42" spans="1:5" ht="16.8" customHeight="true">
      <c r="A42" s="29" t="s">
        <v>268</v>
      </c>
      <c r="B42" s="30" t="s">
        <v>269</v>
      </c>
      <c r="C42" s="30" t="s">
        <v>165</v>
      </c>
      <c r="D42" s="30" t="s"/>
      <c r="E42" s="31" t="s">
        <v>270</v>
      </c>
    </row>
    <row r="43" spans="1:5" ht="16.8" customHeight="true">
      <c r="A43" s="29" t="s">
        <v>271</v>
      </c>
      <c r="B43" s="30" t="s">
        <v>272</v>
      </c>
      <c r="C43" s="30" t="s">
        <v>165</v>
      </c>
      <c r="D43" s="30" t="s"/>
      <c r="E43" s="31" t="s">
        <v>273</v>
      </c>
    </row>
    <row r="44" spans="1:5" ht="16.8" customHeight="true">
      <c r="A44" s="29" t="s">
        <v>274</v>
      </c>
      <c r="B44" s="30" t="s">
        <v>275</v>
      </c>
      <c r="C44" s="30" t="s">
        <v>165</v>
      </c>
      <c r="D44" s="30" t="s"/>
      <c r="E44" s="31" t="s">
        <v>276</v>
      </c>
    </row>
    <row r="45" spans="1:5" ht="16.8" customHeight="true">
      <c r="A45" s="29" t="s">
        <v>277</v>
      </c>
      <c r="B45" s="30" t="s">
        <v>278</v>
      </c>
      <c r="C45" s="30" t="s">
        <v>165</v>
      </c>
      <c r="D45" s="30" t="s"/>
      <c r="E45" s="31" t="s">
        <v>279</v>
      </c>
    </row>
    <row r="46" spans="1:5" ht="16.8" customHeight="true">
      <c r="A46" s="29" t="s">
        <v>280</v>
      </c>
      <c r="B46" s="30" t="s">
        <v>281</v>
      </c>
      <c r="C46" s="30" t="s">
        <v>165</v>
      </c>
      <c r="D46" s="30" t="s"/>
      <c r="E46" s="31" t="s">
        <v>282</v>
      </c>
    </row>
    <row r="47" spans="1:5" ht="16.8" customHeight="true">
      <c r="A47" s="29" t="s">
        <v>283</v>
      </c>
      <c r="B47" s="30" t="s">
        <v>284</v>
      </c>
      <c r="C47" s="30" t="s">
        <v>165</v>
      </c>
      <c r="D47" s="30" t="s"/>
      <c r="E47" s="31" t="s">
        <v>285</v>
      </c>
    </row>
    <row r="48" spans="1:5" ht="16.8" customHeight="true">
      <c r="A48" s="29" t="s">
        <v>286</v>
      </c>
      <c r="B48" s="30" t="s">
        <v>287</v>
      </c>
      <c r="C48" s="30" t="s">
        <v>152</v>
      </c>
      <c r="D48" s="30" t="s"/>
      <c r="E48" s="31" t="s">
        <v>288</v>
      </c>
    </row>
    <row r="49" spans="1:5" ht="16.8" customHeight="true">
      <c r="A49" s="29" t="s">
        <v>289</v>
      </c>
      <c r="B49" s="30" t="s">
        <v>290</v>
      </c>
      <c r="C49" s="30" t="s">
        <v>169</v>
      </c>
      <c r="D49" s="30" t="s">
        <v>170</v>
      </c>
      <c r="E49" s="31" t="s">
        <v>291</v>
      </c>
    </row>
    <row r="50" spans="1:5" ht="16.8" customHeight="true">
      <c r="A50" s="29" t="s">
        <v>292</v>
      </c>
      <c r="B50" s="30" t="s">
        <v>293</v>
      </c>
      <c r="C50" s="30" t="s">
        <v>165</v>
      </c>
      <c r="D50" s="30" t="s"/>
      <c r="E50" s="31" t="s">
        <v>294</v>
      </c>
    </row>
    <row r="51" spans="1:5" ht="16.8" customHeight="true">
      <c r="A51" s="29" t="s">
        <v>295</v>
      </c>
      <c r="B51" s="30" t="s">
        <v>296</v>
      </c>
      <c r="C51" s="30" t="s">
        <v>165</v>
      </c>
      <c r="D51" s="30" t="s"/>
      <c r="E51" s="31" t="s">
        <v>297</v>
      </c>
    </row>
    <row r="52" spans="1:5" ht="16.8" customHeight="true">
      <c r="A52" s="29" t="s">
        <v>298</v>
      </c>
      <c r="B52" s="30" t="s">
        <v>299</v>
      </c>
      <c r="C52" s="30" t="s">
        <v>165</v>
      </c>
      <c r="D52" s="30" t="s"/>
      <c r="E52" s="31" t="s">
        <v>300</v>
      </c>
    </row>
    <row r="53" spans="1:5" ht="16.8" customHeight="true">
      <c r="A53" s="29" t="s">
        <v>301</v>
      </c>
      <c r="B53" s="30" t="s">
        <v>302</v>
      </c>
      <c r="C53" s="30" t="s">
        <v>165</v>
      </c>
      <c r="D53" s="30" t="s"/>
      <c r="E53" s="31" t="s">
        <v>303</v>
      </c>
    </row>
    <row r="54" spans="1:5" ht="16.8" customHeight="true">
      <c r="A54" s="29" t="s">
        <v>304</v>
      </c>
      <c r="B54" s="30" t="s">
        <v>305</v>
      </c>
      <c r="C54" s="30" t="s">
        <v>165</v>
      </c>
      <c r="D54" s="30" t="s"/>
      <c r="E54" s="31" t="s">
        <v>306</v>
      </c>
    </row>
    <row r="55" spans="1:5" ht="16.8" customHeight="true">
      <c r="A55" s="29" t="s">
        <v>307</v>
      </c>
      <c r="B55" s="30" t="s">
        <v>308</v>
      </c>
      <c r="C55" s="30" t="s">
        <v>165</v>
      </c>
      <c r="D55" s="30" t="s"/>
      <c r="E55" s="31" t="s">
        <v>309</v>
      </c>
    </row>
    <row r="56" spans="1:5" ht="16.8" customHeight="true">
      <c r="A56" s="29" t="s">
        <v>310</v>
      </c>
      <c r="B56" s="30" t="s">
        <v>311</v>
      </c>
      <c r="C56" s="30" t="s">
        <v>165</v>
      </c>
      <c r="D56" s="30" t="s"/>
      <c r="E56" s="31" t="s">
        <v>312</v>
      </c>
    </row>
    <row r="57" spans="1:5" ht="16.8" customHeight="true">
      <c r="A57" s="29" t="s">
        <v>313</v>
      </c>
      <c r="B57" s="30" t="s">
        <v>314</v>
      </c>
      <c r="C57" s="30" t="s">
        <v>165</v>
      </c>
      <c r="D57" s="30" t="s"/>
      <c r="E57" s="31" t="s">
        <v>315</v>
      </c>
    </row>
    <row r="58" spans="1:5" ht="16.8" customHeight="true">
      <c r="A58" s="29" t="s">
        <v>316</v>
      </c>
      <c r="B58" s="30" t="s">
        <v>317</v>
      </c>
      <c r="C58" s="30" t="s">
        <v>165</v>
      </c>
      <c r="D58" s="30" t="s"/>
      <c r="E58" s="31" t="s">
        <v>282</v>
      </c>
    </row>
    <row r="59" spans="1:5" ht="16.8" customHeight="true">
      <c r="A59" s="29" t="s">
        <v>318</v>
      </c>
      <c r="B59" s="30" t="s">
        <v>319</v>
      </c>
      <c r="C59" s="30" t="s">
        <v>236</v>
      </c>
      <c r="D59" s="30" t="s">
        <v>320</v>
      </c>
      <c r="E59" s="31" t="s">
        <v>321</v>
      </c>
    </row>
    <row r="60" spans="1:5" ht="16.8" customHeight="true">
      <c r="A60" s="29" t="s">
        <v>322</v>
      </c>
      <c r="B60" s="30" t="s">
        <v>323</v>
      </c>
      <c r="C60" s="30" t="s">
        <v>152</v>
      </c>
      <c r="D60" s="30" t="s">
        <v>170</v>
      </c>
      <c r="E60" s="31" t="s">
        <v>324</v>
      </c>
    </row>
    <row r="61" spans="1:5" ht="16.8" customHeight="true">
      <c r="A61" s="29" t="s">
        <v>325</v>
      </c>
      <c r="B61" s="30" t="s">
        <v>326</v>
      </c>
      <c r="C61" s="30" t="s">
        <v>236</v>
      </c>
      <c r="D61" s="30" t="s">
        <v>170</v>
      </c>
      <c r="E61" s="31" t="s">
        <v>327</v>
      </c>
    </row>
    <row r="62" spans="1:5" ht="16.8" customHeight="true">
      <c r="A62" s="29" t="s">
        <v>328</v>
      </c>
      <c r="B62" s="30" t="s">
        <v>329</v>
      </c>
      <c r="C62" s="30" t="s">
        <v>165</v>
      </c>
      <c r="D62" s="30" t="s"/>
      <c r="E62" s="31" t="s">
        <v>330</v>
      </c>
    </row>
    <row r="63" spans="1:5" ht="16.8" customHeight="true">
      <c r="A63" s="29" t="s">
        <v>331</v>
      </c>
      <c r="B63" s="30" t="s">
        <v>332</v>
      </c>
      <c r="C63" s="30" t="s">
        <v>165</v>
      </c>
      <c r="D63" s="30" t="s"/>
      <c r="E63" s="31" t="s">
        <v>333</v>
      </c>
    </row>
    <row r="64" spans="1:5" ht="16.8" customHeight="true">
      <c r="A64" s="29" t="s">
        <v>334</v>
      </c>
      <c r="B64" s="30" t="s">
        <v>335</v>
      </c>
      <c r="C64" s="30" t="s">
        <v>165</v>
      </c>
      <c r="D64" s="30" t="s"/>
      <c r="E64" s="31" t="s">
        <v>336</v>
      </c>
    </row>
    <row r="65" spans="1:5" ht="16.8" customHeight="true">
      <c r="A65" s="29" t="s">
        <v>337</v>
      </c>
      <c r="B65" s="30" t="s">
        <v>338</v>
      </c>
      <c r="C65" s="30" t="s">
        <v>165</v>
      </c>
      <c r="D65" s="30" t="s"/>
      <c r="E65" s="31" t="s">
        <v>339</v>
      </c>
    </row>
    <row r="66" spans="1:5" ht="16.8" customHeight="true">
      <c r="A66" s="29" t="s">
        <v>340</v>
      </c>
      <c r="B66" s="30" t="s">
        <v>341</v>
      </c>
      <c r="C66" s="30" t="s">
        <v>165</v>
      </c>
      <c r="D66" s="30" t="s"/>
      <c r="E66" s="31" t="s">
        <v>342</v>
      </c>
    </row>
    <row r="67" spans="1:5" ht="16.8" customHeight="true">
      <c r="A67" s="29" t="s">
        <v>343</v>
      </c>
      <c r="B67" s="30" t="s">
        <v>344</v>
      </c>
      <c r="C67" s="30" t="s">
        <v>165</v>
      </c>
      <c r="D67" s="30" t="s"/>
      <c r="E67" s="31" t="s">
        <v>345</v>
      </c>
    </row>
    <row r="68" spans="1:5" ht="16.8" customHeight="true">
      <c r="A68" s="29" t="s">
        <v>346</v>
      </c>
      <c r="B68" s="30" t="s">
        <v>347</v>
      </c>
      <c r="C68" s="30" t="s">
        <v>152</v>
      </c>
      <c r="D68" s="30" t="s">
        <v>170</v>
      </c>
      <c r="E68" s="31" t="s">
        <v>348</v>
      </c>
    </row>
    <row r="69" spans="1:5" ht="16.8" customHeight="true">
      <c r="A69" s="29" t="s">
        <v>349</v>
      </c>
      <c r="B69" s="30" t="s">
        <v>350</v>
      </c>
      <c r="C69" s="30" t="s">
        <v>351</v>
      </c>
      <c r="D69" s="30" t="s">
        <v>352</v>
      </c>
      <c r="E69" s="31" t="s">
        <v>353</v>
      </c>
    </row>
    <row r="70" spans="1:5" ht="16.8" customHeight="true">
      <c r="A70" s="29" t="s">
        <v>354</v>
      </c>
      <c r="B70" s="30" t="s">
        <v>355</v>
      </c>
      <c r="C70" s="30" t="s">
        <v>152</v>
      </c>
      <c r="D70" s="30" t="s">
        <v>170</v>
      </c>
      <c r="E70" s="31" t="s">
        <v>356</v>
      </c>
    </row>
    <row r="71" spans="1:5" ht="16.8" customHeight="true">
      <c r="A71" s="29" t="s">
        <v>357</v>
      </c>
      <c r="B71" s="30" t="s">
        <v>358</v>
      </c>
      <c r="C71" s="30" t="s">
        <v>165</v>
      </c>
      <c r="D71" s="30" t="s"/>
      <c r="E71" s="31" t="s">
        <v>359</v>
      </c>
    </row>
    <row r="72" spans="1:5" ht="16.8" customHeight="true">
      <c r="A72" s="29" t="s">
        <v>360</v>
      </c>
      <c r="B72" s="30" t="s">
        <v>361</v>
      </c>
      <c r="C72" s="30" t="s">
        <v>165</v>
      </c>
      <c r="D72" s="30" t="s"/>
      <c r="E72" s="31" t="s">
        <v>362</v>
      </c>
    </row>
    <row r="73" spans="1:5" ht="16.8" customHeight="true">
      <c r="A73" s="29" t="s">
        <v>363</v>
      </c>
      <c r="B73" s="30" t="s">
        <v>364</v>
      </c>
      <c r="C73" s="30" t="s">
        <v>165</v>
      </c>
      <c r="D73" s="30" t="s"/>
      <c r="E73" s="31" t="s">
        <v>365</v>
      </c>
    </row>
    <row r="74" spans="1:5" ht="16.8" customHeight="true">
      <c r="A74" s="29" t="s">
        <v>366</v>
      </c>
      <c r="B74" s="30" t="s">
        <v>367</v>
      </c>
      <c r="C74" s="30" t="s">
        <v>165</v>
      </c>
      <c r="D74" s="30" t="s"/>
      <c r="E74" s="31" t="s">
        <v>368</v>
      </c>
    </row>
    <row r="75" spans="1:5" ht="16.8" customHeight="true">
      <c r="A75" s="29" t="s">
        <v>369</v>
      </c>
      <c r="B75" s="30" t="s">
        <v>370</v>
      </c>
      <c r="C75" s="30" t="s">
        <v>165</v>
      </c>
      <c r="D75" s="30" t="s">
        <v>153</v>
      </c>
      <c r="E75" s="31" t="s">
        <v>371</v>
      </c>
    </row>
    <row r="76" spans="1:5" ht="16.8" customHeight="true">
      <c r="A76" s="29" t="s">
        <v>372</v>
      </c>
      <c r="B76" s="30" t="s">
        <v>373</v>
      </c>
      <c r="C76" s="30" t="s">
        <v>165</v>
      </c>
      <c r="D76" s="30" t="s"/>
      <c r="E76" s="31" t="s">
        <v>374</v>
      </c>
    </row>
    <row r="77" spans="1:5" ht="16.8" customHeight="true">
      <c r="A77" s="29" t="s">
        <v>375</v>
      </c>
      <c r="B77" s="30" t="s">
        <v>376</v>
      </c>
      <c r="C77" s="30" t="s">
        <v>165</v>
      </c>
      <c r="D77" s="30" t="s"/>
      <c r="E77" s="31" t="s">
        <v>377</v>
      </c>
    </row>
    <row r="78" spans="1:5" ht="16.8" customHeight="true">
      <c r="A78" s="29" t="s">
        <v>378</v>
      </c>
      <c r="B78" s="30" t="s">
        <v>373</v>
      </c>
      <c r="C78" s="30" t="s">
        <v>165</v>
      </c>
      <c r="D78" s="30" t="s"/>
      <c r="E78" s="31" t="s">
        <v>379</v>
      </c>
    </row>
    <row r="79" spans="1:5" ht="16.8" customHeight="true">
      <c r="A79" s="29" t="s">
        <v>380</v>
      </c>
      <c r="B79" s="30" t="s">
        <v>381</v>
      </c>
      <c r="C79" s="30" t="s">
        <v>382</v>
      </c>
      <c r="D79" s="30" t="s">
        <v>170</v>
      </c>
      <c r="E79" s="31" t="s">
        <v>383</v>
      </c>
    </row>
    <row r="80" spans="1:5" ht="16.8" customHeight="true">
      <c r="A80" s="29" t="s">
        <v>384</v>
      </c>
      <c r="B80" s="30" t="s">
        <v>385</v>
      </c>
      <c r="C80" s="30" t="s">
        <v>165</v>
      </c>
      <c r="D80" s="30" t="s"/>
      <c r="E80" s="31" t="s">
        <v>386</v>
      </c>
    </row>
    <row r="81" spans="1:5" ht="16.8" customHeight="true">
      <c r="A81" s="29" t="s">
        <v>387</v>
      </c>
      <c r="B81" s="30" t="s">
        <v>388</v>
      </c>
      <c r="C81" s="30" t="s">
        <v>165</v>
      </c>
      <c r="D81" s="30" t="s"/>
      <c r="E81" s="31" t="s">
        <v>389</v>
      </c>
    </row>
    <row r="82" spans="1:5" ht="16.8" customHeight="true">
      <c r="A82" s="29" t="s">
        <v>390</v>
      </c>
      <c r="B82" s="30" t="s">
        <v>391</v>
      </c>
      <c r="C82" s="30" t="s">
        <v>165</v>
      </c>
      <c r="D82" s="30" t="s"/>
      <c r="E82" s="31" t="s">
        <v>392</v>
      </c>
    </row>
    <row r="83" spans="1:5" ht="16.8" customHeight="true">
      <c r="A83" s="29" t="s">
        <v>393</v>
      </c>
      <c r="B83" s="30" t="s">
        <v>394</v>
      </c>
      <c r="C83" s="30" t="s">
        <v>395</v>
      </c>
      <c r="D83" s="30" t="s">
        <v>170</v>
      </c>
      <c r="E83" s="31" t="s">
        <v>396</v>
      </c>
    </row>
    <row r="84" spans="1:5" ht="16.8" customHeight="true">
      <c r="A84" s="29" t="s">
        <v>397</v>
      </c>
      <c r="B84" s="30" t="s">
        <v>398</v>
      </c>
      <c r="C84" s="30" t="s">
        <v>152</v>
      </c>
      <c r="D84" s="30" t="s">
        <v>157</v>
      </c>
      <c r="E84" s="31" t="s">
        <v>399</v>
      </c>
    </row>
    <row r="85" spans="1:5" ht="16.8" customHeight="true">
      <c r="A85" s="29" t="s">
        <v>400</v>
      </c>
      <c r="B85" s="30" t="s">
        <v>401</v>
      </c>
      <c r="C85" s="30" t="s">
        <v>165</v>
      </c>
      <c r="D85" s="30" t="s">
        <v>402</v>
      </c>
      <c r="E85" s="31" t="s">
        <v>403</v>
      </c>
    </row>
    <row r="86" spans="1:5" ht="16.8" customHeight="true">
      <c r="A86" s="29" t="s">
        <v>404</v>
      </c>
      <c r="B86" s="30" t="s">
        <v>405</v>
      </c>
      <c r="C86" s="30" t="s">
        <v>165</v>
      </c>
      <c r="D86" s="30" t="s"/>
      <c r="E86" s="31" t="s">
        <v>406</v>
      </c>
    </row>
    <row r="87" spans="1:5" ht="16.8" customHeight="true">
      <c r="A87" s="29" t="s">
        <v>407</v>
      </c>
      <c r="B87" s="30" t="s">
        <v>408</v>
      </c>
      <c r="C87" s="30" t="s">
        <v>165</v>
      </c>
      <c r="D87" s="30" t="s"/>
      <c r="E87" s="31" t="s">
        <v>409</v>
      </c>
    </row>
    <row r="88" spans="1:5" ht="16.8" customHeight="true">
      <c r="A88" s="29" t="s">
        <v>410</v>
      </c>
      <c r="B88" s="30" t="s">
        <v>411</v>
      </c>
      <c r="C88" s="30" t="s">
        <v>165</v>
      </c>
      <c r="D88" s="30" t="s"/>
      <c r="E88" s="31" t="s">
        <v>412</v>
      </c>
    </row>
    <row r="89" spans="1:5" ht="16.8" customHeight="true">
      <c r="A89" s="29" t="s">
        <v>413</v>
      </c>
      <c r="B89" s="30" t="s">
        <v>414</v>
      </c>
      <c r="C89" s="30" t="s">
        <v>165</v>
      </c>
      <c r="D89" s="30" t="s"/>
      <c r="E89" s="31" t="s">
        <v>415</v>
      </c>
    </row>
    <row r="90" spans="1:5" ht="16.8" customHeight="true">
      <c r="A90" s="29" t="s">
        <v>416</v>
      </c>
      <c r="B90" s="30" t="s">
        <v>417</v>
      </c>
      <c r="C90" s="30" t="s">
        <v>165</v>
      </c>
      <c r="D90" s="30" t="s"/>
      <c r="E90" s="31" t="s">
        <v>418</v>
      </c>
    </row>
    <row r="91" spans="1:5" ht="16.8" customHeight="true">
      <c r="A91" s="29" t="s">
        <v>419</v>
      </c>
      <c r="B91" s="30" t="s">
        <v>420</v>
      </c>
      <c r="C91" s="30" t="s">
        <v>165</v>
      </c>
      <c r="D91" s="30" t="s"/>
      <c r="E91" s="31" t="s">
        <v>421</v>
      </c>
    </row>
    <row r="92" spans="1:5" ht="16.8" customHeight="true">
      <c r="A92" s="29" t="s">
        <v>422</v>
      </c>
      <c r="B92" s="30" t="s">
        <v>423</v>
      </c>
      <c r="C92" s="30" t="s">
        <v>165</v>
      </c>
      <c r="D92" s="30" t="s"/>
      <c r="E92" s="31" t="s">
        <v>424</v>
      </c>
    </row>
    <row r="93" spans="1:5" ht="16.8" customHeight="true">
      <c r="A93" s="29" t="s">
        <v>425</v>
      </c>
      <c r="B93" s="30" t="s">
        <v>426</v>
      </c>
      <c r="C93" s="30" t="s">
        <v>165</v>
      </c>
      <c r="D93" s="30" t="s"/>
      <c r="E93" s="31" t="s">
        <v>427</v>
      </c>
    </row>
    <row r="94" spans="1:5" ht="16.8" customHeight="true">
      <c r="A94" s="29" t="s">
        <v>428</v>
      </c>
      <c r="B94" s="30" t="s">
        <v>429</v>
      </c>
      <c r="C94" s="30" t="s">
        <v>165</v>
      </c>
      <c r="D94" s="30" t="s"/>
      <c r="E94" s="31" t="s">
        <v>430</v>
      </c>
    </row>
    <row r="95" spans="1:5" ht="16.8" customHeight="true">
      <c r="A95" s="29" t="s">
        <v>431</v>
      </c>
      <c r="B95" s="30" t="s">
        <v>432</v>
      </c>
      <c r="C95" s="30" t="s">
        <v>165</v>
      </c>
      <c r="D95" s="30" t="s"/>
      <c r="E95" s="31" t="s">
        <v>433</v>
      </c>
    </row>
    <row r="96" spans="1:5" ht="16.8" customHeight="true">
      <c r="A96" s="29" t="s">
        <v>434</v>
      </c>
      <c r="B96" s="30" t="s">
        <v>435</v>
      </c>
      <c r="C96" s="30" t="s">
        <v>436</v>
      </c>
      <c r="D96" s="30" t="s">
        <v>232</v>
      </c>
      <c r="E96" s="31" t="s">
        <v>437</v>
      </c>
    </row>
    <row r="97" spans="1:5" ht="16.8" customHeight="true">
      <c r="A97" s="29" t="s">
        <v>438</v>
      </c>
      <c r="B97" s="30" t="s">
        <v>439</v>
      </c>
      <c r="C97" s="30" t="s">
        <v>165</v>
      </c>
      <c r="D97" s="30" t="s"/>
      <c r="E97" s="31" t="s">
        <v>440</v>
      </c>
    </row>
    <row r="98" spans="1:5" ht="16.8" customHeight="true">
      <c r="A98" s="29" t="s">
        <v>441</v>
      </c>
      <c r="B98" s="30" t="s">
        <v>442</v>
      </c>
      <c r="C98" s="30" t="s">
        <v>443</v>
      </c>
      <c r="D98" s="30" t="s">
        <v>444</v>
      </c>
      <c r="E98" s="31" t="s">
        <v>445</v>
      </c>
    </row>
    <row r="99" spans="1:5" ht="16.8" customHeight="true">
      <c r="A99" s="29" t="s">
        <v>446</v>
      </c>
      <c r="B99" s="30" t="s">
        <v>447</v>
      </c>
      <c r="C99" s="30" t="s">
        <v>165</v>
      </c>
      <c r="D99" s="30" t="s">
        <v>153</v>
      </c>
      <c r="E99" s="31" t="s">
        <v>448</v>
      </c>
    </row>
    <row r="100" spans="1:5" ht="16.8" customHeight="true">
      <c r="A100" s="29" t="s">
        <v>449</v>
      </c>
      <c r="B100" s="30" t="s">
        <v>450</v>
      </c>
      <c r="C100" s="30" t="s">
        <v>165</v>
      </c>
      <c r="D100" s="30" t="s"/>
      <c r="E100" s="31" t="s">
        <v>451</v>
      </c>
    </row>
    <row r="101" spans="1:5" ht="16.8" customHeight="true">
      <c r="A101" s="29" t="s">
        <v>452</v>
      </c>
      <c r="B101" s="30" t="s">
        <v>453</v>
      </c>
      <c r="C101" s="30" t="s">
        <v>165</v>
      </c>
      <c r="D101" s="30" t="s"/>
      <c r="E101" s="31" t="s">
        <v>454</v>
      </c>
    </row>
    <row r="102" spans="1:5" ht="16.8" customHeight="true">
      <c r="A102" s="29" t="s">
        <v>455</v>
      </c>
      <c r="B102" s="30" t="s">
        <v>456</v>
      </c>
      <c r="C102" s="30" t="s">
        <v>165</v>
      </c>
      <c r="D102" s="30" t="s"/>
      <c r="E102" s="31" t="s">
        <v>457</v>
      </c>
    </row>
    <row r="103" spans="1:5" ht="16.8" customHeight="true">
      <c r="A103" s="29" t="s">
        <v>458</v>
      </c>
      <c r="B103" s="30" t="s">
        <v>459</v>
      </c>
      <c r="C103" s="30" t="s">
        <v>165</v>
      </c>
      <c r="D103" s="30" t="s"/>
      <c r="E103" s="31" t="s">
        <v>460</v>
      </c>
    </row>
    <row r="104" spans="1:5" ht="16.8" customHeight="true">
      <c r="A104" s="29" t="s">
        <v>461</v>
      </c>
      <c r="B104" s="30" t="s">
        <v>462</v>
      </c>
      <c r="C104" s="30" t="s">
        <v>165</v>
      </c>
      <c r="D104" s="30" t="s"/>
      <c r="E104" s="31" t="s">
        <v>463</v>
      </c>
    </row>
    <row r="105" spans="1:5" ht="16.8" customHeight="true">
      <c r="A105" s="29" t="s">
        <v>464</v>
      </c>
      <c r="B105" s="30" t="s">
        <v>182</v>
      </c>
      <c r="C105" s="30" t="s">
        <v>165</v>
      </c>
      <c r="D105" s="30" t="s"/>
      <c r="E105" s="31" t="s">
        <v>465</v>
      </c>
    </row>
    <row r="106" spans="1:5" ht="16.8" customHeight="true">
      <c r="A106" s="29" t="s">
        <v>466</v>
      </c>
      <c r="B106" s="30" t="s">
        <v>467</v>
      </c>
      <c r="C106" s="30" t="s">
        <v>165</v>
      </c>
      <c r="D106" s="30" t="s"/>
      <c r="E106" s="31" t="s">
        <v>468</v>
      </c>
    </row>
    <row r="107" spans="1:5" ht="16.8" customHeight="true">
      <c r="A107" s="29" t="s">
        <v>469</v>
      </c>
      <c r="B107" s="30" t="s">
        <v>470</v>
      </c>
      <c r="C107" s="30" t="s">
        <v>382</v>
      </c>
      <c r="D107" s="30" t="s">
        <v>170</v>
      </c>
      <c r="E107" s="31" t="s">
        <v>471</v>
      </c>
    </row>
    <row r="108" spans="1:5" ht="16.8" customHeight="true">
      <c r="A108" s="29" t="s">
        <v>472</v>
      </c>
      <c r="B108" s="30" t="s">
        <v>473</v>
      </c>
      <c r="C108" s="30" t="s">
        <v>165</v>
      </c>
      <c r="D108" s="30" t="s"/>
      <c r="E108" s="31" t="s">
        <v>474</v>
      </c>
    </row>
    <row r="109" spans="1:5" ht="16.8" customHeight="true">
      <c r="A109" s="29" t="s">
        <v>475</v>
      </c>
      <c r="B109" s="30" t="s">
        <v>476</v>
      </c>
      <c r="C109" s="30" t="s">
        <v>165</v>
      </c>
      <c r="D109" s="30" t="s"/>
      <c r="E109" s="31" t="s">
        <v>477</v>
      </c>
    </row>
    <row r="110" spans="1:5" ht="16.8" customHeight="true">
      <c r="A110" s="29" t="s">
        <v>478</v>
      </c>
      <c r="B110" s="30" t="s">
        <v>479</v>
      </c>
      <c r="C110" s="30" t="s">
        <v>165</v>
      </c>
      <c r="D110" s="30" t="s"/>
      <c r="E110" s="31" t="s">
        <v>480</v>
      </c>
    </row>
    <row r="111" spans="1:5" ht="16.8" customHeight="true">
      <c r="A111" s="29" t="s">
        <v>481</v>
      </c>
      <c r="B111" s="30" t="s">
        <v>482</v>
      </c>
      <c r="C111" s="30" t="s">
        <v>165</v>
      </c>
      <c r="D111" s="30" t="s"/>
      <c r="E111" s="31" t="s">
        <v>483</v>
      </c>
    </row>
    <row r="112" spans="1:5" ht="16.8" customHeight="true">
      <c r="A112" s="29" t="s">
        <v>230</v>
      </c>
      <c r="B112" s="30" t="s">
        <v>231</v>
      </c>
      <c r="C112" s="30" t="s">
        <v>484</v>
      </c>
      <c r="D112" s="30" t="s">
        <v>485</v>
      </c>
      <c r="E112" s="31" t="s">
        <v>486</v>
      </c>
    </row>
    <row r="113" spans="1:5" ht="16.8" customHeight="true">
      <c r="A113" s="29" t="s">
        <v>487</v>
      </c>
      <c r="B113" s="30" t="s">
        <v>488</v>
      </c>
      <c r="C113" s="30" t="s">
        <v>165</v>
      </c>
      <c r="D113" s="30" t="s"/>
      <c r="E113" s="31" t="s">
        <v>489</v>
      </c>
    </row>
    <row r="114" spans="1:5" ht="16.8" customHeight="true">
      <c r="A114" s="29" t="s">
        <v>490</v>
      </c>
      <c r="B114" s="30" t="s">
        <v>491</v>
      </c>
      <c r="C114" s="30" t="s">
        <v>165</v>
      </c>
      <c r="D114" s="30" t="s"/>
      <c r="E114" s="31" t="s">
        <v>492</v>
      </c>
    </row>
    <row r="115" spans="1:5" ht="16.8" customHeight="true">
      <c r="A115" s="29" t="s">
        <v>493</v>
      </c>
      <c r="B115" s="30" t="s">
        <v>494</v>
      </c>
      <c r="C115" s="30" t="s">
        <v>165</v>
      </c>
      <c r="D115" s="30" t="s"/>
      <c r="E115" s="31" t="s">
        <v>495</v>
      </c>
    </row>
    <row r="116" spans="1:5" ht="16.8" customHeight="true">
      <c r="A116" s="29" t="s">
        <v>496</v>
      </c>
      <c r="B116" s="30" t="s">
        <v>497</v>
      </c>
      <c r="C116" s="30" t="s">
        <v>165</v>
      </c>
      <c r="D116" s="30" t="s"/>
      <c r="E116" s="31" t="s">
        <v>498</v>
      </c>
    </row>
    <row r="117" spans="1:5" ht="16.8" customHeight="true">
      <c r="A117" s="29" t="s">
        <v>499</v>
      </c>
      <c r="B117" s="30" t="s">
        <v>500</v>
      </c>
      <c r="C117" s="30" t="s">
        <v>236</v>
      </c>
      <c r="D117" s="30" t="s">
        <v>170</v>
      </c>
      <c r="E117" s="31" t="s">
        <v>501</v>
      </c>
    </row>
    <row r="118" spans="1:5" ht="16.8" customHeight="true">
      <c r="A118" s="29" t="s">
        <v>502</v>
      </c>
      <c r="B118" s="30" t="s">
        <v>503</v>
      </c>
      <c r="C118" s="30" t="s">
        <v>504</v>
      </c>
      <c r="D118" s="30" t="s"/>
      <c r="E118" s="31" t="s">
        <v>505</v>
      </c>
    </row>
    <row r="119" spans="1:5" ht="16.8" customHeight="true">
      <c r="A119" s="29" t="s">
        <v>506</v>
      </c>
      <c r="B119" s="30" t="s">
        <v>507</v>
      </c>
      <c r="C119" s="30" t="s">
        <v>508</v>
      </c>
      <c r="D119" s="30" t="s">
        <v>153</v>
      </c>
      <c r="E119" s="31" t="s">
        <v>509</v>
      </c>
    </row>
    <row r="120" spans="1:5" ht="16.8" customHeight="true">
      <c r="A120" s="29" t="s">
        <v>510</v>
      </c>
      <c r="B120" s="30" t="s">
        <v>182</v>
      </c>
      <c r="C120" s="30" t="s">
        <v>511</v>
      </c>
      <c r="D120" s="30" t="s">
        <v>232</v>
      </c>
      <c r="E120" s="31" t="s">
        <v>512</v>
      </c>
    </row>
    <row r="121" spans="1:5" ht="16.8" customHeight="true">
      <c r="A121" s="29" t="s">
        <v>513</v>
      </c>
      <c r="B121" s="30" t="s">
        <v>514</v>
      </c>
      <c r="C121" s="30" t="s">
        <v>165</v>
      </c>
      <c r="D121" s="30" t="s"/>
      <c r="E121" s="31" t="s">
        <v>515</v>
      </c>
    </row>
    <row r="122" spans="1:5" ht="16.8" customHeight="true">
      <c r="A122" s="29" t="s">
        <v>516</v>
      </c>
      <c r="B122" s="30" t="s">
        <v>517</v>
      </c>
      <c r="C122" s="30" t="s">
        <v>165</v>
      </c>
      <c r="D122" s="30" t="s"/>
      <c r="E122" s="31" t="s">
        <v>518</v>
      </c>
    </row>
    <row r="123" spans="1:5" ht="16.8" customHeight="true">
      <c r="A123" s="29" t="s">
        <v>519</v>
      </c>
      <c r="B123" s="30" t="s">
        <v>520</v>
      </c>
      <c r="C123" s="30" t="s">
        <v>165</v>
      </c>
      <c r="D123" s="30" t="s"/>
      <c r="E123" s="31" t="s">
        <v>521</v>
      </c>
    </row>
    <row r="124" spans="1:5" ht="16.8" customHeight="true">
      <c r="A124" s="29" t="s">
        <v>522</v>
      </c>
      <c r="B124" s="30" t="s">
        <v>186</v>
      </c>
      <c r="C124" s="30" t="s">
        <v>523</v>
      </c>
      <c r="D124" s="30" t="s"/>
      <c r="E124" s="31" t="s">
        <v>524</v>
      </c>
    </row>
    <row r="125" spans="1:5" ht="16.8" customHeight="true">
      <c r="A125" s="29" t="s">
        <v>525</v>
      </c>
      <c r="B125" s="30" t="s">
        <v>526</v>
      </c>
      <c r="C125" s="30" t="s">
        <v>527</v>
      </c>
      <c r="D125" s="30" t="s">
        <v>528</v>
      </c>
      <c r="E125" s="31" t="s">
        <v>529</v>
      </c>
    </row>
    <row r="126" spans="1:5" ht="16.8" customHeight="true">
      <c r="A126" s="29" t="s">
        <v>530</v>
      </c>
      <c r="B126" s="30" t="s">
        <v>531</v>
      </c>
      <c r="C126" s="30" t="s">
        <v>165</v>
      </c>
      <c r="D126" s="30" t="s"/>
      <c r="E126" s="31" t="s">
        <v>532</v>
      </c>
    </row>
    <row r="127" spans="1:5" ht="16.8" customHeight="true">
      <c r="A127" s="29" t="s">
        <v>533</v>
      </c>
      <c r="B127" s="30" t="s">
        <v>534</v>
      </c>
      <c r="C127" s="30" t="s">
        <v>535</v>
      </c>
      <c r="D127" s="30" t="s">
        <v>148</v>
      </c>
      <c r="E127" s="31" t="s">
        <v>536</v>
      </c>
    </row>
    <row r="128" spans="1:5" ht="16.8" customHeight="true">
      <c r="A128" s="29" t="s">
        <v>537</v>
      </c>
      <c r="B128" s="30" t="s">
        <v>538</v>
      </c>
      <c r="C128" s="30" t="s">
        <v>165</v>
      </c>
      <c r="D128" s="30" t="s"/>
      <c r="E128" s="31" t="s">
        <v>539</v>
      </c>
    </row>
    <row r="129" spans="1:5" ht="16.8" customHeight="true">
      <c r="A129" s="29" t="s">
        <v>540</v>
      </c>
      <c r="B129" s="30" t="s">
        <v>473</v>
      </c>
      <c r="C129" s="30" t="s">
        <v>165</v>
      </c>
      <c r="D129" s="30" t="s"/>
      <c r="E129" s="31" t="s">
        <v>541</v>
      </c>
    </row>
    <row r="130" spans="1:5" ht="16.8" customHeight="true">
      <c r="A130" s="29" t="s">
        <v>542</v>
      </c>
      <c r="B130" s="30" t="s">
        <v>543</v>
      </c>
      <c r="C130" s="30" t="s">
        <v>165</v>
      </c>
      <c r="D130" s="30" t="s"/>
      <c r="E130" s="31" t="s">
        <v>544</v>
      </c>
    </row>
    <row r="131" spans="1:5" ht="16.8" customHeight="true">
      <c r="A131" s="29" t="s">
        <v>545</v>
      </c>
      <c r="B131" s="30" t="s">
        <v>546</v>
      </c>
      <c r="C131" s="30" t="s">
        <v>165</v>
      </c>
      <c r="D131" s="30" t="s"/>
      <c r="E131" s="31" t="s">
        <v>547</v>
      </c>
    </row>
    <row r="132" spans="1:5" ht="16.8" customHeight="true">
      <c r="A132" s="29" t="s">
        <v>548</v>
      </c>
      <c r="B132" s="30" t="s">
        <v>549</v>
      </c>
      <c r="C132" s="30" t="s">
        <v>165</v>
      </c>
      <c r="D132" s="30" t="s"/>
      <c r="E132" s="31" t="s">
        <v>550</v>
      </c>
    </row>
    <row r="133" spans="1:5" ht="16.8" customHeight="true">
      <c r="A133" s="29" t="s">
        <v>551</v>
      </c>
      <c r="B133" s="30" t="s">
        <v>552</v>
      </c>
      <c r="C133" s="30" t="s">
        <v>165</v>
      </c>
      <c r="D133" s="30" t="s"/>
      <c r="E133" s="31" t="s">
        <v>553</v>
      </c>
    </row>
    <row r="134" spans="1:5" ht="16.8" customHeight="true">
      <c r="A134" s="29" t="s">
        <v>554</v>
      </c>
      <c r="B134" s="30" t="s">
        <v>555</v>
      </c>
      <c r="C134" s="30" t="s">
        <v>165</v>
      </c>
      <c r="D134" s="30" t="s"/>
      <c r="E134" s="31" t="s">
        <v>556</v>
      </c>
    </row>
    <row r="135" spans="1:5" ht="16.8" customHeight="true">
      <c r="A135" s="29" t="s">
        <v>557</v>
      </c>
      <c r="B135" s="30" t="s">
        <v>558</v>
      </c>
      <c r="C135" s="30" t="s">
        <v>165</v>
      </c>
      <c r="D135" s="30" t="s"/>
      <c r="E135" s="31" t="s">
        <v>559</v>
      </c>
    </row>
    <row r="136" spans="1:5" ht="16.8" customHeight="true">
      <c r="A136" s="29" t="s">
        <v>560</v>
      </c>
      <c r="B136" s="30" t="s">
        <v>561</v>
      </c>
      <c r="C136" s="30" t="s">
        <v>165</v>
      </c>
      <c r="D136" s="30" t="s"/>
      <c r="E136" s="31" t="s">
        <v>174</v>
      </c>
    </row>
    <row r="137" spans="1:5" ht="16.8" customHeight="true">
      <c r="A137" s="29" t="s">
        <v>562</v>
      </c>
      <c r="B137" s="30" t="s">
        <v>563</v>
      </c>
      <c r="C137" s="30" t="s">
        <v>152</v>
      </c>
      <c r="D137" s="30" t="s">
        <v>564</v>
      </c>
      <c r="E137" s="31" t="s">
        <v>565</v>
      </c>
    </row>
    <row r="138" spans="1:5" ht="16.8" customHeight="true">
      <c r="A138" s="29" t="s">
        <v>566</v>
      </c>
      <c r="B138" s="30" t="s">
        <v>567</v>
      </c>
      <c r="C138" s="30" t="s">
        <v>152</v>
      </c>
      <c r="D138" s="30" t="s">
        <v>157</v>
      </c>
      <c r="E138" s="31" t="s">
        <v>568</v>
      </c>
    </row>
    <row r="139" spans="1:5" ht="16.8" customHeight="true">
      <c r="A139" s="29" t="s">
        <v>569</v>
      </c>
      <c r="B139" s="30" t="s">
        <v>570</v>
      </c>
      <c r="C139" s="30" t="s">
        <v>236</v>
      </c>
      <c r="D139" s="30" t="s">
        <v>571</v>
      </c>
      <c r="E139" s="31" t="s">
        <v>288</v>
      </c>
    </row>
    <row r="140" spans="1:5" ht="16.8" customHeight="true">
      <c r="A140" s="29" t="s">
        <v>572</v>
      </c>
      <c r="B140" s="30" t="s">
        <v>573</v>
      </c>
      <c r="C140" s="30" t="s">
        <v>165</v>
      </c>
      <c r="D140" s="30" t="s"/>
      <c r="E140" s="31" t="s">
        <v>574</v>
      </c>
    </row>
    <row r="141" spans="1:5" ht="16.8" customHeight="true">
      <c r="A141" s="29" t="s">
        <v>575</v>
      </c>
      <c r="B141" s="30" t="s">
        <v>576</v>
      </c>
      <c r="C141" s="30" t="s">
        <v>165</v>
      </c>
      <c r="D141" s="30" t="s"/>
      <c r="E141" s="31" t="s">
        <v>415</v>
      </c>
    </row>
    <row r="142" spans="1:5" ht="16.8" customHeight="true">
      <c r="A142" s="29" t="s">
        <v>577</v>
      </c>
      <c r="B142" s="30" t="s">
        <v>296</v>
      </c>
      <c r="C142" s="30" t="s">
        <v>165</v>
      </c>
      <c r="D142" s="30" t="s"/>
      <c r="E142" s="31" t="s">
        <v>578</v>
      </c>
    </row>
    <row r="143" spans="1:5" ht="16.8" customHeight="true">
      <c r="A143" s="29" t="s">
        <v>579</v>
      </c>
      <c r="B143" s="30" t="s">
        <v>580</v>
      </c>
      <c r="C143" s="30" t="s">
        <v>443</v>
      </c>
      <c r="D143" s="30" t="s">
        <v>232</v>
      </c>
      <c r="E143" s="31" t="s">
        <v>581</v>
      </c>
    </row>
    <row r="144" spans="1:5" ht="16.8" customHeight="true">
      <c r="A144" s="29" t="s">
        <v>582</v>
      </c>
      <c r="B144" s="30" t="s">
        <v>583</v>
      </c>
      <c r="C144" s="30" t="s">
        <v>165</v>
      </c>
      <c r="D144" s="30" t="s"/>
      <c r="E144" s="31" t="s">
        <v>584</v>
      </c>
    </row>
    <row r="145" spans="1:5" ht="16.8" customHeight="true">
      <c r="A145" s="29" t="s">
        <v>585</v>
      </c>
      <c r="B145" s="30" t="s">
        <v>586</v>
      </c>
      <c r="C145" s="30" t="s">
        <v>165</v>
      </c>
      <c r="D145" s="30" t="s"/>
      <c r="E145" s="31" t="s">
        <v>587</v>
      </c>
    </row>
    <row r="146" spans="1:5" ht="16.8" customHeight="true">
      <c r="A146" s="29" t="s">
        <v>588</v>
      </c>
      <c r="B146" s="30" t="s">
        <v>589</v>
      </c>
      <c r="C146" s="30" t="s">
        <v>165</v>
      </c>
      <c r="D146" s="30" t="s"/>
      <c r="E146" s="31" t="s">
        <v>590</v>
      </c>
    </row>
    <row r="147" spans="1:5" ht="16.8" customHeight="true">
      <c r="A147" s="29" t="s">
        <v>591</v>
      </c>
      <c r="B147" s="30" t="s">
        <v>592</v>
      </c>
      <c r="C147" s="30" t="s">
        <v>165</v>
      </c>
      <c r="D147" s="30" t="s"/>
      <c r="E147" s="31" t="s">
        <v>593</v>
      </c>
    </row>
    <row r="148" spans="1:5" ht="16.8" customHeight="true">
      <c r="A148" s="29" t="s">
        <v>510</v>
      </c>
      <c r="B148" s="30" t="s">
        <v>182</v>
      </c>
      <c r="C148" s="30" t="s">
        <v>594</v>
      </c>
      <c r="D148" s="30" t="s"/>
      <c r="E148" s="31" t="s">
        <v>595</v>
      </c>
    </row>
    <row r="149" spans="1:5" ht="16.8" customHeight="true">
      <c r="A149" s="29" t="s">
        <v>596</v>
      </c>
      <c r="B149" s="30" t="s">
        <v>597</v>
      </c>
      <c r="C149" s="30" t="s">
        <v>263</v>
      </c>
      <c r="D149" s="30" t="s">
        <v>170</v>
      </c>
      <c r="E149" s="31" t="s">
        <v>598</v>
      </c>
    </row>
    <row r="150" spans="1:5" ht="16.8" customHeight="true">
      <c r="A150" s="29" t="s">
        <v>599</v>
      </c>
      <c r="B150" s="30" t="s">
        <v>600</v>
      </c>
      <c r="C150" s="30" t="s">
        <v>165</v>
      </c>
      <c r="D150" s="30" t="s"/>
      <c r="E150" s="31" t="s">
        <v>601</v>
      </c>
    </row>
    <row r="151" spans="1:5" ht="16.8" customHeight="true">
      <c r="A151" s="29" t="s">
        <v>602</v>
      </c>
      <c r="B151" s="30" t="s">
        <v>603</v>
      </c>
      <c r="C151" s="30" t="s">
        <v>165</v>
      </c>
      <c r="D151" s="30" t="s"/>
      <c r="E151" s="31" t="s">
        <v>604</v>
      </c>
    </row>
    <row r="152" spans="1:5" ht="16.8" customHeight="true">
      <c r="A152" s="29" t="s">
        <v>605</v>
      </c>
      <c r="B152" s="30" t="s">
        <v>182</v>
      </c>
      <c r="C152" s="30" t="s">
        <v>165</v>
      </c>
      <c r="D152" s="30" t="s"/>
      <c r="E152" s="31" t="s">
        <v>606</v>
      </c>
    </row>
    <row r="153" spans="1:5" ht="16.8" customHeight="true">
      <c r="A153" s="29" t="s">
        <v>607</v>
      </c>
      <c r="B153" s="30" t="s">
        <v>608</v>
      </c>
      <c r="C153" s="30" t="s">
        <v>165</v>
      </c>
      <c r="D153" s="30" t="s"/>
      <c r="E153" s="31" t="s">
        <v>174</v>
      </c>
    </row>
    <row r="154" spans="1:5" ht="16.8" customHeight="true">
      <c r="A154" s="32" t="s">
        <v>609</v>
      </c>
      <c r="B154" s="33" t="s">
        <v>610</v>
      </c>
      <c r="C154" s="33" t="s">
        <v>236</v>
      </c>
      <c r="D154" s="33" t="s">
        <v>153</v>
      </c>
      <c r="E154" s="34" t="s">
        <v>611</v>
      </c>
    </row>
    <row r="155" spans="1:5">
      <c r="A155" s="35">
        <v>46023</v>
      </c>
      <c r="B155" s="36" t="s"/>
      <c r="C155" s="36" t="s"/>
      <c r="D155" s="36" t="s"/>
      <c r="E155" s="37" t="s"/>
    </row>
    <row r="156" spans="1:5">
      <c r="A156" s="38" t="s">
        <v>135</v>
      </c>
      <c r="B156" s="39" t="s">
        <v>136</v>
      </c>
      <c r="C156" s="39" t="s">
        <v>137</v>
      </c>
      <c r="D156" s="39" t="s">
        <v>138</v>
      </c>
      <c r="E156" s="40" t="s">
        <v>139</v>
      </c>
    </row>
    <row r="157" spans="1:26" ht="16.8" customHeight="true">
      <c r="A157" s="41" t="s">
        <v>612</v>
      </c>
      <c r="B157" s="30" t="s">
        <v>613</v>
      </c>
      <c r="C157" s="30" t="s">
        <v>152</v>
      </c>
      <c r="D157" s="30" t="s">
        <v>170</v>
      </c>
      <c r="E157" s="31" t="s">
        <v>614</v>
      </c>
      <c r="F157" s="22" t="s"/>
      <c r="G157" s="22" t="s"/>
      <c r="H157" s="22" t="s"/>
      <c r="I157" s="22" t="s"/>
      <c r="J157" s="22" t="s"/>
      <c r="K157" s="22" t="s"/>
      <c r="L157" s="22" t="s"/>
      <c r="M157" s="22" t="s"/>
      <c r="N157" s="22" t="s"/>
      <c r="O157" s="22" t="s"/>
      <c r="P157" s="22" t="s"/>
      <c r="Q157" s="22" t="s"/>
      <c r="R157" s="22" t="s"/>
      <c r="S157" s="22" t="s"/>
      <c r="T157" s="22" t="s"/>
      <c r="U157" s="22" t="s"/>
      <c r="V157" s="22" t="s"/>
      <c r="W157" s="22" t="s"/>
      <c r="X157" s="22" t="s"/>
      <c r="Y157" s="22" t="s"/>
      <c r="Z157" s="22" t="s"/>
    </row>
    <row r="158" spans="1:26" ht="16.8" customHeight="true">
      <c r="A158" s="41" t="s">
        <v>615</v>
      </c>
      <c r="B158" s="30" t="s">
        <v>616</v>
      </c>
      <c r="C158" s="30" t="s">
        <v>443</v>
      </c>
      <c r="D158" s="30" t="s"/>
      <c r="E158" s="31" t="s">
        <v>617</v>
      </c>
      <c r="F158" s="22" t="s"/>
      <c r="G158" s="22" t="s"/>
      <c r="H158" s="22" t="s"/>
      <c r="I158" s="22" t="s"/>
      <c r="J158" s="22" t="s"/>
      <c r="K158" s="22" t="s"/>
      <c r="L158" s="22" t="s"/>
      <c r="M158" s="22" t="s"/>
      <c r="N158" s="22" t="s"/>
      <c r="O158" s="22" t="s"/>
      <c r="P158" s="22" t="s"/>
      <c r="Q158" s="22" t="s"/>
      <c r="R158" s="22" t="s"/>
      <c r="S158" s="22" t="s"/>
      <c r="T158" s="22" t="s"/>
      <c r="U158" s="22" t="s"/>
      <c r="V158" s="22" t="s"/>
      <c r="W158" s="22" t="s"/>
      <c r="X158" s="22" t="s"/>
      <c r="Y158" s="22" t="s"/>
      <c r="Z158" s="22" t="s"/>
    </row>
    <row r="159" spans="1:26" ht="16.8" customHeight="true">
      <c r="A159" s="41" t="s">
        <v>618</v>
      </c>
      <c r="B159" s="30" t="s">
        <v>619</v>
      </c>
      <c r="C159" s="30" t="s">
        <v>165</v>
      </c>
      <c r="D159" s="30" t="s"/>
      <c r="E159" s="31" t="s">
        <v>620</v>
      </c>
      <c r="F159" s="22" t="s"/>
      <c r="G159" s="22" t="s"/>
      <c r="H159" s="22" t="s"/>
      <c r="I159" s="22" t="s"/>
      <c r="J159" s="22" t="s"/>
      <c r="K159" s="22" t="s"/>
      <c r="L159" s="22" t="s"/>
      <c r="M159" s="22" t="s"/>
      <c r="N159" s="22" t="s"/>
      <c r="O159" s="22" t="s"/>
      <c r="P159" s="22" t="s"/>
      <c r="Q159" s="22" t="s"/>
      <c r="R159" s="22" t="s"/>
      <c r="S159" s="22" t="s"/>
      <c r="T159" s="22" t="s"/>
      <c r="U159" s="22" t="s"/>
      <c r="V159" s="22" t="s"/>
      <c r="W159" s="22" t="s"/>
      <c r="X159" s="22" t="s"/>
      <c r="Y159" s="22" t="s"/>
      <c r="Z159" s="22" t="s"/>
    </row>
    <row r="160" spans="1:26" ht="16.8" customHeight="true">
      <c r="A160" s="41" t="s">
        <v>621</v>
      </c>
      <c r="B160" s="30" t="s">
        <v>622</v>
      </c>
      <c r="C160" s="30" t="s">
        <v>165</v>
      </c>
      <c r="D160" s="30" t="s"/>
      <c r="E160" s="31" t="s">
        <v>623</v>
      </c>
      <c r="F160" s="22" t="s"/>
      <c r="G160" s="22" t="s"/>
      <c r="H160" s="22" t="s"/>
      <c r="I160" s="22" t="s"/>
      <c r="J160" s="22" t="s"/>
      <c r="K160" s="22" t="s"/>
      <c r="L160" s="22" t="s"/>
      <c r="M160" s="22" t="s"/>
      <c r="N160" s="22" t="s"/>
      <c r="O160" s="22" t="s"/>
      <c r="P160" s="22" t="s"/>
      <c r="Q160" s="22" t="s"/>
      <c r="R160" s="22" t="s"/>
      <c r="S160" s="22" t="s"/>
      <c r="T160" s="22" t="s"/>
      <c r="U160" s="22" t="s"/>
      <c r="V160" s="22" t="s"/>
      <c r="W160" s="22" t="s"/>
      <c r="X160" s="22" t="s"/>
      <c r="Y160" s="22" t="s"/>
      <c r="Z160" s="22" t="s"/>
    </row>
    <row r="161" spans="1:26" ht="16.8" customHeight="true">
      <c r="A161" s="41" t="s">
        <v>624</v>
      </c>
      <c r="B161" s="30" t="s">
        <v>625</v>
      </c>
      <c r="C161" s="30" t="s">
        <v>626</v>
      </c>
      <c r="D161" s="30" t="s">
        <v>627</v>
      </c>
      <c r="E161" s="31" t="s">
        <v>628</v>
      </c>
      <c r="F161" s="22" t="s"/>
      <c r="G161" s="22" t="s"/>
      <c r="H161" s="22" t="s"/>
      <c r="I161" s="22" t="s"/>
      <c r="J161" s="22" t="s"/>
      <c r="K161" s="22" t="s"/>
      <c r="L161" s="22" t="s"/>
      <c r="M161" s="22" t="s"/>
      <c r="N161" s="22" t="s"/>
      <c r="O161" s="22" t="s"/>
      <c r="P161" s="22" t="s"/>
      <c r="Q161" s="22" t="s"/>
      <c r="R161" s="22" t="s"/>
      <c r="S161" s="22" t="s"/>
      <c r="T161" s="22" t="s"/>
      <c r="U161" s="22" t="s"/>
      <c r="V161" s="22" t="s"/>
      <c r="W161" s="22" t="s"/>
      <c r="X161" s="22" t="s"/>
      <c r="Y161" s="22" t="s"/>
      <c r="Z161" s="22" t="s"/>
    </row>
    <row r="162" spans="1:26" ht="16.8" customHeight="true">
      <c r="A162" s="41" t="s">
        <v>629</v>
      </c>
      <c r="B162" s="30" t="s">
        <v>630</v>
      </c>
      <c r="C162" s="30" t="s">
        <v>443</v>
      </c>
      <c r="D162" s="30" t="s">
        <v>232</v>
      </c>
      <c r="E162" s="31" t="s">
        <v>631</v>
      </c>
      <c r="F162" s="22" t="s"/>
      <c r="G162" s="22" t="s"/>
      <c r="H162" s="22" t="s"/>
      <c r="I162" s="22" t="s"/>
      <c r="J162" s="22" t="s"/>
      <c r="K162" s="22" t="s"/>
      <c r="L162" s="22" t="s"/>
      <c r="M162" s="22" t="s"/>
      <c r="N162" s="22" t="s"/>
      <c r="O162" s="22" t="s"/>
      <c r="P162" s="22" t="s"/>
      <c r="Q162" s="22" t="s"/>
      <c r="R162" s="22" t="s"/>
      <c r="S162" s="22" t="s"/>
      <c r="T162" s="22" t="s"/>
      <c r="U162" s="22" t="s"/>
      <c r="V162" s="22" t="s"/>
      <c r="W162" s="22" t="s"/>
      <c r="X162" s="22" t="s"/>
      <c r="Y162" s="22" t="s"/>
      <c r="Z162" s="22" t="s"/>
    </row>
    <row r="163" spans="1:26" ht="16.8" customHeight="true">
      <c r="A163" s="41" t="s">
        <v>632</v>
      </c>
      <c r="B163" s="30" t="s">
        <v>633</v>
      </c>
      <c r="C163" s="30" t="s">
        <v>165</v>
      </c>
      <c r="D163" s="30" t="s"/>
      <c r="E163" s="31" t="s">
        <v>634</v>
      </c>
      <c r="F163" s="22" t="s"/>
      <c r="G163" s="22" t="s"/>
      <c r="H163" s="22" t="s"/>
      <c r="I163" s="22" t="s"/>
      <c r="J163" s="22" t="s"/>
      <c r="K163" s="22" t="s"/>
      <c r="L163" s="22" t="s"/>
      <c r="M163" s="22" t="s"/>
      <c r="N163" s="22" t="s"/>
      <c r="O163" s="22" t="s"/>
      <c r="P163" s="22" t="s"/>
      <c r="Q163" s="22" t="s"/>
      <c r="R163" s="22" t="s"/>
      <c r="S163" s="22" t="s"/>
      <c r="T163" s="22" t="s"/>
      <c r="U163" s="22" t="s"/>
      <c r="V163" s="22" t="s"/>
      <c r="W163" s="22" t="s"/>
      <c r="X163" s="22" t="s"/>
      <c r="Y163" s="22" t="s"/>
      <c r="Z163" s="22" t="s"/>
    </row>
    <row r="164" spans="1:26" ht="16.8" customHeight="true">
      <c r="A164" s="41" t="s">
        <v>635</v>
      </c>
      <c r="B164" s="30" t="s">
        <v>636</v>
      </c>
      <c r="C164" s="30" t="s">
        <v>165</v>
      </c>
      <c r="D164" s="30" t="s"/>
      <c r="E164" s="31" t="s">
        <v>637</v>
      </c>
      <c r="F164" s="22" t="s"/>
      <c r="G164" s="22" t="s"/>
      <c r="H164" s="22" t="s"/>
      <c r="I164" s="22" t="s"/>
      <c r="J164" s="22" t="s"/>
      <c r="K164" s="22" t="s"/>
      <c r="L164" s="22" t="s"/>
      <c r="M164" s="22" t="s"/>
      <c r="N164" s="22" t="s"/>
      <c r="O164" s="22" t="s"/>
      <c r="P164" s="22" t="s"/>
      <c r="Q164" s="22" t="s"/>
      <c r="R164" s="22" t="s"/>
      <c r="S164" s="22" t="s"/>
      <c r="T164" s="22" t="s"/>
      <c r="U164" s="22" t="s"/>
      <c r="V164" s="22" t="s"/>
      <c r="W164" s="22" t="s"/>
      <c r="X164" s="22" t="s"/>
      <c r="Y164" s="22" t="s"/>
      <c r="Z164" s="22" t="s"/>
    </row>
    <row r="165" spans="1:26" ht="16.8" customHeight="true">
      <c r="A165" s="41" t="s">
        <v>638</v>
      </c>
      <c r="B165" s="30" t="s">
        <v>639</v>
      </c>
      <c r="C165" s="30" t="s">
        <v>165</v>
      </c>
      <c r="D165" s="30" t="s"/>
      <c r="E165" s="31" t="s">
        <v>640</v>
      </c>
      <c r="F165" s="22" t="s"/>
      <c r="G165" s="22" t="s"/>
      <c r="H165" s="22" t="s"/>
      <c r="I165" s="22" t="s"/>
      <c r="J165" s="22" t="s"/>
      <c r="K165" s="22" t="s"/>
      <c r="L165" s="22" t="s"/>
      <c r="M165" s="22" t="s"/>
      <c r="N165" s="22" t="s"/>
      <c r="O165" s="22" t="s"/>
      <c r="P165" s="22" t="s"/>
      <c r="Q165" s="22" t="s"/>
      <c r="R165" s="22" t="s"/>
      <c r="S165" s="22" t="s"/>
      <c r="T165" s="22" t="s"/>
      <c r="U165" s="22" t="s"/>
      <c r="V165" s="22" t="s"/>
      <c r="W165" s="22" t="s"/>
      <c r="X165" s="22" t="s"/>
      <c r="Y165" s="22" t="s"/>
      <c r="Z165" s="22" t="s"/>
    </row>
    <row r="166" spans="1:26" ht="16.8" customHeight="true">
      <c r="A166" s="41" t="s">
        <v>641</v>
      </c>
      <c r="B166" s="30" t="s">
        <v>642</v>
      </c>
      <c r="C166" s="30" t="s">
        <v>165</v>
      </c>
      <c r="D166" s="30" t="s"/>
      <c r="E166" s="31" t="s">
        <v>643</v>
      </c>
      <c r="F166" s="22" t="s"/>
      <c r="G166" s="22" t="s"/>
      <c r="H166" s="22" t="s"/>
      <c r="I166" s="22" t="s"/>
      <c r="J166" s="22" t="s"/>
      <c r="K166" s="22" t="s"/>
      <c r="L166" s="22" t="s"/>
      <c r="M166" s="22" t="s"/>
      <c r="N166" s="22" t="s"/>
      <c r="O166" s="22" t="s"/>
      <c r="P166" s="22" t="s"/>
      <c r="Q166" s="22" t="s"/>
      <c r="R166" s="22" t="s"/>
      <c r="S166" s="22" t="s"/>
      <c r="T166" s="22" t="s"/>
      <c r="U166" s="22" t="s"/>
      <c r="V166" s="22" t="s"/>
      <c r="W166" s="22" t="s"/>
      <c r="X166" s="22" t="s"/>
      <c r="Y166" s="22" t="s"/>
      <c r="Z166" s="22" t="s"/>
    </row>
    <row r="167" spans="1:26" ht="16.8" customHeight="true">
      <c r="A167" s="41" t="s">
        <v>644</v>
      </c>
      <c r="B167" s="30" t="s">
        <v>645</v>
      </c>
      <c r="C167" s="30" t="s">
        <v>165</v>
      </c>
      <c r="D167" s="30" t="s"/>
      <c r="E167" s="31" t="s">
        <v>646</v>
      </c>
      <c r="F167" s="22" t="s"/>
      <c r="G167" s="22" t="s"/>
      <c r="H167" s="22" t="s"/>
      <c r="I167" s="22" t="s"/>
      <c r="J167" s="22" t="s"/>
      <c r="K167" s="22" t="s"/>
      <c r="L167" s="22" t="s"/>
      <c r="M167" s="22" t="s"/>
      <c r="N167" s="22" t="s"/>
      <c r="O167" s="22" t="s"/>
      <c r="P167" s="22" t="s"/>
      <c r="Q167" s="22" t="s"/>
      <c r="R167" s="22" t="s"/>
      <c r="S167" s="22" t="s"/>
      <c r="T167" s="22" t="s"/>
      <c r="U167" s="22" t="s"/>
      <c r="V167" s="22" t="s"/>
      <c r="W167" s="22" t="s"/>
      <c r="X167" s="22" t="s"/>
      <c r="Y167" s="22" t="s"/>
      <c r="Z167" s="22" t="s"/>
    </row>
    <row r="168" spans="1:26" ht="16.8" customHeight="true">
      <c r="A168" s="41" t="s">
        <v>647</v>
      </c>
      <c r="B168" s="30" t="s">
        <v>648</v>
      </c>
      <c r="C168" s="30" t="s">
        <v>165</v>
      </c>
      <c r="D168" s="30" t="s"/>
      <c r="E168" s="31" t="s">
        <v>649</v>
      </c>
      <c r="F168" s="22" t="s"/>
      <c r="G168" s="22" t="s"/>
      <c r="H168" s="22" t="s"/>
      <c r="I168" s="22" t="s"/>
      <c r="J168" s="22" t="s"/>
      <c r="K168" s="22" t="s"/>
      <c r="L168" s="22" t="s"/>
      <c r="M168" s="22" t="s"/>
      <c r="N168" s="22" t="s"/>
      <c r="O168" s="22" t="s"/>
      <c r="P168" s="22" t="s"/>
      <c r="Q168" s="22" t="s"/>
      <c r="R168" s="22" t="s"/>
      <c r="S168" s="22" t="s"/>
      <c r="T168" s="22" t="s"/>
      <c r="U168" s="22" t="s"/>
      <c r="V168" s="22" t="s"/>
      <c r="W168" s="22" t="s"/>
      <c r="X168" s="22" t="s"/>
      <c r="Y168" s="22" t="s"/>
      <c r="Z168" s="22" t="s"/>
    </row>
    <row r="169" spans="1:26" ht="16.8" customHeight="true">
      <c r="A169" s="41" t="s">
        <v>650</v>
      </c>
      <c r="B169" s="30" t="s">
        <v>651</v>
      </c>
      <c r="C169" s="30" t="s">
        <v>165</v>
      </c>
      <c r="D169" s="30" t="s"/>
      <c r="E169" s="31" t="s">
        <v>652</v>
      </c>
      <c r="F169" s="22" t="s"/>
      <c r="G169" s="22" t="s"/>
      <c r="H169" s="22" t="s"/>
      <c r="I169" s="22" t="s"/>
      <c r="J169" s="22" t="s"/>
      <c r="K169" s="22" t="s"/>
      <c r="L169" s="22" t="s"/>
      <c r="M169" s="22" t="s"/>
      <c r="N169" s="22" t="s"/>
      <c r="O169" s="22" t="s"/>
      <c r="P169" s="22" t="s"/>
      <c r="Q169" s="22" t="s"/>
      <c r="R169" s="22" t="s"/>
      <c r="S169" s="22" t="s"/>
      <c r="T169" s="22" t="s"/>
      <c r="U169" s="22" t="s"/>
      <c r="V169" s="22" t="s"/>
      <c r="W169" s="22" t="s"/>
      <c r="X169" s="22" t="s"/>
      <c r="Y169" s="22" t="s"/>
      <c r="Z169" s="22" t="s"/>
    </row>
    <row r="170" spans="1:26" ht="16.8" customHeight="true">
      <c r="A170" s="41" t="s">
        <v>653</v>
      </c>
      <c r="B170" s="30" t="s">
        <v>654</v>
      </c>
      <c r="C170" s="30" t="s">
        <v>165</v>
      </c>
      <c r="D170" s="30" t="s">
        <v>485</v>
      </c>
      <c r="E170" s="31" t="s">
        <v>655</v>
      </c>
      <c r="F170" s="22" t="s"/>
      <c r="G170" s="22" t="s"/>
      <c r="H170" s="22" t="s"/>
      <c r="I170" s="22" t="s"/>
      <c r="J170" s="22" t="s"/>
      <c r="K170" s="22" t="s"/>
      <c r="L170" s="22" t="s"/>
      <c r="M170" s="22" t="s"/>
      <c r="N170" s="22" t="s"/>
      <c r="O170" s="22" t="s"/>
      <c r="P170" s="22" t="s"/>
      <c r="Q170" s="22" t="s"/>
      <c r="R170" s="22" t="s"/>
      <c r="S170" s="22" t="s"/>
      <c r="T170" s="22" t="s"/>
      <c r="U170" s="22" t="s"/>
      <c r="V170" s="22" t="s"/>
      <c r="W170" s="22" t="s"/>
      <c r="X170" s="22" t="s"/>
      <c r="Y170" s="22" t="s"/>
      <c r="Z170" s="22" t="s"/>
    </row>
    <row r="171" spans="1:26" ht="16.8" customHeight="true">
      <c r="A171" s="41" t="s">
        <v>656</v>
      </c>
      <c r="B171" s="30" t="s">
        <v>657</v>
      </c>
      <c r="C171" s="30" t="s">
        <v>165</v>
      </c>
      <c r="D171" s="30" t="s"/>
      <c r="E171" s="31" t="s">
        <v>658</v>
      </c>
      <c r="F171" s="22" t="s"/>
      <c r="G171" s="22" t="s"/>
      <c r="H171" s="22" t="s"/>
      <c r="I171" s="22" t="s"/>
      <c r="J171" s="22" t="s"/>
      <c r="K171" s="22" t="s"/>
      <c r="L171" s="22" t="s"/>
      <c r="M171" s="22" t="s"/>
      <c r="N171" s="22" t="s"/>
      <c r="O171" s="22" t="s"/>
      <c r="P171" s="22" t="s"/>
      <c r="Q171" s="22" t="s"/>
      <c r="R171" s="22" t="s"/>
      <c r="S171" s="22" t="s"/>
      <c r="T171" s="22" t="s"/>
      <c r="U171" s="22" t="s"/>
      <c r="V171" s="22" t="s"/>
      <c r="W171" s="22" t="s"/>
      <c r="X171" s="22" t="s"/>
      <c r="Y171" s="22" t="s"/>
      <c r="Z171" s="22" t="s"/>
    </row>
    <row r="172" spans="1:26" ht="16.8" customHeight="true">
      <c r="A172" s="41" t="s">
        <v>659</v>
      </c>
      <c r="B172" s="30" t="s">
        <v>660</v>
      </c>
      <c r="C172" s="30" t="s">
        <v>165</v>
      </c>
      <c r="D172" s="30" t="s"/>
      <c r="E172" s="31" t="s">
        <v>661</v>
      </c>
      <c r="F172" s="22" t="s"/>
      <c r="G172" s="22" t="s"/>
      <c r="H172" s="22" t="s"/>
      <c r="I172" s="22" t="s"/>
      <c r="J172" s="22" t="s"/>
      <c r="K172" s="22" t="s"/>
      <c r="L172" s="22" t="s"/>
      <c r="M172" s="22" t="s"/>
      <c r="N172" s="22" t="s"/>
      <c r="O172" s="22" t="s"/>
      <c r="P172" s="22" t="s"/>
      <c r="Q172" s="22" t="s"/>
      <c r="R172" s="22" t="s"/>
      <c r="S172" s="22" t="s"/>
      <c r="T172" s="22" t="s"/>
      <c r="U172" s="22" t="s"/>
      <c r="V172" s="22" t="s"/>
      <c r="W172" s="22" t="s"/>
      <c r="X172" s="22" t="s"/>
      <c r="Y172" s="22" t="s"/>
      <c r="Z172" s="22" t="s"/>
    </row>
    <row r="173" spans="1:26" ht="16.8" customHeight="true">
      <c r="A173" s="41" t="s">
        <v>662</v>
      </c>
      <c r="B173" s="30" t="s">
        <v>663</v>
      </c>
      <c r="C173" s="30" t="s">
        <v>165</v>
      </c>
      <c r="D173" s="30" t="s"/>
      <c r="E173" s="31" t="s">
        <v>664</v>
      </c>
      <c r="F173" s="22" t="s"/>
      <c r="G173" s="22" t="s"/>
      <c r="H173" s="22" t="s"/>
      <c r="I173" s="22" t="s"/>
      <c r="J173" s="22" t="s"/>
      <c r="K173" s="22" t="s"/>
      <c r="L173" s="22" t="s"/>
      <c r="M173" s="22" t="s"/>
      <c r="N173" s="22" t="s"/>
      <c r="O173" s="22" t="s"/>
      <c r="P173" s="22" t="s"/>
      <c r="Q173" s="22" t="s"/>
      <c r="R173" s="22" t="s"/>
      <c r="S173" s="22" t="s"/>
      <c r="T173" s="22" t="s"/>
      <c r="U173" s="22" t="s"/>
      <c r="V173" s="22" t="s"/>
      <c r="W173" s="22" t="s"/>
      <c r="X173" s="22" t="s"/>
      <c r="Y173" s="22" t="s"/>
      <c r="Z173" s="22" t="s"/>
    </row>
    <row r="174" spans="1:26" ht="16.8" customHeight="true">
      <c r="A174" s="41" t="s">
        <v>665</v>
      </c>
      <c r="B174" s="30" t="s">
        <v>666</v>
      </c>
      <c r="C174" s="30" t="s">
        <v>165</v>
      </c>
      <c r="D174" s="30" t="s"/>
      <c r="E174" s="31" t="s">
        <v>667</v>
      </c>
      <c r="F174" s="22" t="s"/>
      <c r="G174" s="22" t="s"/>
      <c r="H174" s="22" t="s"/>
      <c r="I174" s="22" t="s"/>
      <c r="J174" s="22" t="s"/>
      <c r="K174" s="22" t="s"/>
      <c r="L174" s="22" t="s"/>
      <c r="M174" s="22" t="s"/>
      <c r="N174" s="22" t="s"/>
      <c r="O174" s="22" t="s"/>
      <c r="P174" s="22" t="s"/>
      <c r="Q174" s="22" t="s"/>
      <c r="R174" s="22" t="s"/>
      <c r="S174" s="22" t="s"/>
      <c r="T174" s="22" t="s"/>
      <c r="U174" s="22" t="s"/>
      <c r="V174" s="22" t="s"/>
      <c r="W174" s="22" t="s"/>
      <c r="X174" s="22" t="s"/>
      <c r="Y174" s="22" t="s"/>
      <c r="Z174" s="22" t="s"/>
    </row>
    <row r="175" spans="1:26" ht="16.8" customHeight="true">
      <c r="A175" s="41" t="s">
        <v>668</v>
      </c>
      <c r="B175" s="30" t="s">
        <v>373</v>
      </c>
      <c r="C175" s="30" t="s">
        <v>165</v>
      </c>
      <c r="D175" s="30" t="s"/>
      <c r="E175" s="31" t="s">
        <v>669</v>
      </c>
      <c r="F175" s="22" t="s"/>
      <c r="G175" s="22" t="s"/>
      <c r="H175" s="22" t="s"/>
      <c r="I175" s="22" t="s"/>
      <c r="J175" s="22" t="s"/>
      <c r="K175" s="22" t="s"/>
      <c r="L175" s="22" t="s"/>
      <c r="M175" s="22" t="s"/>
      <c r="N175" s="22" t="s"/>
      <c r="O175" s="22" t="s"/>
      <c r="P175" s="22" t="s"/>
      <c r="Q175" s="22" t="s"/>
      <c r="R175" s="22" t="s"/>
      <c r="S175" s="22" t="s"/>
      <c r="T175" s="22" t="s"/>
      <c r="U175" s="22" t="s"/>
      <c r="V175" s="22" t="s"/>
      <c r="W175" s="22" t="s"/>
      <c r="X175" s="22" t="s"/>
      <c r="Y175" s="22" t="s"/>
      <c r="Z175" s="22" t="s"/>
    </row>
    <row r="176" spans="1:26" ht="16.8" customHeight="true">
      <c r="A176" s="41" t="s">
        <v>670</v>
      </c>
      <c r="B176" s="30" t="s">
        <v>671</v>
      </c>
      <c r="C176" s="30" t="s">
        <v>165</v>
      </c>
      <c r="D176" s="30" t="s"/>
      <c r="E176" s="31" t="s">
        <v>672</v>
      </c>
      <c r="F176" s="22" t="s"/>
      <c r="G176" s="22" t="s"/>
      <c r="H176" s="22" t="s"/>
      <c r="I176" s="22" t="s"/>
      <c r="J176" s="22" t="s"/>
      <c r="K176" s="22" t="s"/>
      <c r="L176" s="22" t="s"/>
      <c r="M176" s="22" t="s"/>
      <c r="N176" s="22" t="s"/>
      <c r="O176" s="22" t="s"/>
      <c r="P176" s="22" t="s"/>
      <c r="Q176" s="22" t="s"/>
      <c r="R176" s="22" t="s"/>
      <c r="S176" s="22" t="s"/>
      <c r="T176" s="22" t="s"/>
      <c r="U176" s="22" t="s"/>
      <c r="V176" s="22" t="s"/>
      <c r="W176" s="22" t="s"/>
      <c r="X176" s="22" t="s"/>
      <c r="Y176" s="22" t="s"/>
      <c r="Z176" s="22" t="s"/>
    </row>
    <row r="177" spans="1:26" ht="16.8" customHeight="true">
      <c r="A177" s="41" t="s">
        <v>673</v>
      </c>
      <c r="B177" s="30" t="s">
        <v>674</v>
      </c>
      <c r="C177" s="30" t="s">
        <v>236</v>
      </c>
      <c r="D177" s="30" t="s"/>
      <c r="E177" s="31" t="s">
        <v>675</v>
      </c>
      <c r="F177" s="22" t="s"/>
      <c r="G177" s="22" t="s"/>
      <c r="H177" s="22" t="s"/>
      <c r="I177" s="22" t="s"/>
      <c r="J177" s="22" t="s"/>
      <c r="K177" s="22" t="s"/>
      <c r="L177" s="22" t="s"/>
      <c r="M177" s="22" t="s"/>
      <c r="N177" s="22" t="s"/>
      <c r="O177" s="22" t="s"/>
      <c r="P177" s="22" t="s"/>
      <c r="Q177" s="22" t="s"/>
      <c r="R177" s="22" t="s"/>
      <c r="S177" s="22" t="s"/>
      <c r="T177" s="22" t="s"/>
      <c r="U177" s="22" t="s"/>
      <c r="V177" s="22" t="s"/>
      <c r="W177" s="22" t="s"/>
      <c r="X177" s="22" t="s"/>
      <c r="Y177" s="22" t="s"/>
      <c r="Z177" s="22" t="s"/>
    </row>
    <row r="178" spans="1:26" ht="16.8" customHeight="true">
      <c r="A178" s="41" t="s">
        <v>676</v>
      </c>
      <c r="B178" s="30" t="s">
        <v>677</v>
      </c>
      <c r="C178" s="30" t="s">
        <v>165</v>
      </c>
      <c r="D178" s="30" t="s"/>
      <c r="E178" s="31" t="s">
        <v>678</v>
      </c>
      <c r="F178" s="22" t="s"/>
      <c r="G178" s="22" t="s"/>
      <c r="H178" s="22" t="s"/>
      <c r="I178" s="22" t="s"/>
      <c r="J178" s="22" t="s"/>
      <c r="K178" s="22" t="s"/>
      <c r="L178" s="22" t="s"/>
      <c r="M178" s="22" t="s"/>
      <c r="N178" s="22" t="s"/>
      <c r="O178" s="22" t="s"/>
      <c r="P178" s="22" t="s"/>
      <c r="Q178" s="22" t="s"/>
      <c r="R178" s="22" t="s"/>
      <c r="S178" s="22" t="s"/>
      <c r="T178" s="22" t="s"/>
      <c r="U178" s="22" t="s"/>
      <c r="V178" s="22" t="s"/>
      <c r="W178" s="22" t="s"/>
      <c r="X178" s="22" t="s"/>
      <c r="Y178" s="22" t="s"/>
      <c r="Z178" s="22" t="s"/>
    </row>
    <row r="179" spans="1:26" ht="16.8" customHeight="true">
      <c r="A179" s="41" t="s">
        <v>679</v>
      </c>
      <c r="B179" s="30" t="s">
        <v>373</v>
      </c>
      <c r="C179" s="30" t="s">
        <v>165</v>
      </c>
      <c r="D179" s="30" t="s"/>
      <c r="E179" s="31" t="s">
        <v>680</v>
      </c>
      <c r="F179" s="22" t="s"/>
      <c r="G179" s="22" t="s"/>
      <c r="H179" s="22" t="s"/>
      <c r="I179" s="22" t="s"/>
      <c r="J179" s="22" t="s"/>
      <c r="K179" s="22" t="s"/>
      <c r="L179" s="22" t="s"/>
      <c r="M179" s="22" t="s"/>
      <c r="N179" s="22" t="s"/>
      <c r="O179" s="22" t="s"/>
      <c r="P179" s="22" t="s"/>
      <c r="Q179" s="22" t="s"/>
      <c r="R179" s="22" t="s"/>
      <c r="S179" s="22" t="s"/>
      <c r="T179" s="22" t="s"/>
      <c r="U179" s="22" t="s"/>
      <c r="V179" s="22" t="s"/>
      <c r="W179" s="22" t="s"/>
      <c r="X179" s="22" t="s"/>
      <c r="Y179" s="22" t="s"/>
      <c r="Z179" s="22" t="s"/>
    </row>
    <row r="180" spans="1:26" ht="16.8" customHeight="true">
      <c r="A180" s="41" t="s">
        <v>681</v>
      </c>
      <c r="B180" s="30" t="s">
        <v>373</v>
      </c>
      <c r="C180" s="30" t="s">
        <v>165</v>
      </c>
      <c r="D180" s="30" t="s"/>
      <c r="E180" s="31" t="s">
        <v>682</v>
      </c>
      <c r="F180" s="22" t="s"/>
      <c r="G180" s="22" t="s"/>
      <c r="H180" s="22" t="s"/>
      <c r="I180" s="22" t="s"/>
      <c r="J180" s="22" t="s"/>
      <c r="K180" s="22" t="s"/>
      <c r="L180" s="22" t="s"/>
      <c r="M180" s="22" t="s"/>
      <c r="N180" s="22" t="s"/>
      <c r="O180" s="22" t="s"/>
      <c r="P180" s="22" t="s"/>
      <c r="Q180" s="22" t="s"/>
      <c r="R180" s="22" t="s"/>
      <c r="S180" s="22" t="s"/>
      <c r="T180" s="22" t="s"/>
      <c r="U180" s="22" t="s"/>
      <c r="V180" s="22" t="s"/>
      <c r="W180" s="22" t="s"/>
      <c r="X180" s="22" t="s"/>
      <c r="Y180" s="22" t="s"/>
      <c r="Z180" s="22" t="s"/>
    </row>
    <row r="181" spans="1:26" ht="16.8" customHeight="true">
      <c r="A181" s="41" t="s">
        <v>683</v>
      </c>
      <c r="B181" s="30" t="s">
        <v>684</v>
      </c>
      <c r="C181" s="30" t="s">
        <v>165</v>
      </c>
      <c r="D181" s="30" t="s"/>
      <c r="E181" s="31" t="s">
        <v>685</v>
      </c>
      <c r="F181" s="22" t="s"/>
      <c r="G181" s="22" t="s"/>
      <c r="H181" s="22" t="s"/>
      <c r="I181" s="22" t="s"/>
      <c r="J181" s="22" t="s"/>
      <c r="K181" s="22" t="s"/>
      <c r="L181" s="22" t="s"/>
      <c r="M181" s="22" t="s"/>
      <c r="N181" s="22" t="s"/>
      <c r="O181" s="22" t="s"/>
      <c r="P181" s="22" t="s"/>
      <c r="Q181" s="22" t="s"/>
      <c r="R181" s="22" t="s"/>
      <c r="S181" s="22" t="s"/>
      <c r="T181" s="22" t="s"/>
      <c r="U181" s="22" t="s"/>
      <c r="V181" s="22" t="s"/>
      <c r="W181" s="22" t="s"/>
      <c r="X181" s="22" t="s"/>
      <c r="Y181" s="22" t="s"/>
      <c r="Z181" s="22" t="s"/>
    </row>
    <row r="182" spans="1:26" ht="16.8" customHeight="true">
      <c r="A182" s="41" t="s">
        <v>686</v>
      </c>
      <c r="B182" s="30" t="s">
        <v>687</v>
      </c>
      <c r="C182" s="30" t="s">
        <v>165</v>
      </c>
      <c r="D182" s="30" t="s"/>
      <c r="E182" s="31" t="s">
        <v>553</v>
      </c>
      <c r="F182" s="22" t="s"/>
      <c r="G182" s="22" t="s"/>
      <c r="H182" s="22" t="s"/>
      <c r="I182" s="22" t="s"/>
      <c r="J182" s="22" t="s"/>
      <c r="K182" s="22" t="s"/>
      <c r="L182" s="22" t="s"/>
      <c r="M182" s="22" t="s"/>
      <c r="N182" s="22" t="s"/>
      <c r="O182" s="22" t="s"/>
      <c r="P182" s="22" t="s"/>
      <c r="Q182" s="22" t="s"/>
      <c r="R182" s="22" t="s"/>
      <c r="S182" s="22" t="s"/>
      <c r="T182" s="22" t="s"/>
      <c r="U182" s="22" t="s"/>
      <c r="V182" s="22" t="s"/>
      <c r="W182" s="22" t="s"/>
      <c r="X182" s="22" t="s"/>
      <c r="Y182" s="22" t="s"/>
      <c r="Z182" s="22" t="s"/>
    </row>
    <row r="183" spans="1:26" ht="16.8" customHeight="true">
      <c r="A183" s="41" t="s">
        <v>688</v>
      </c>
      <c r="B183" s="30" t="s">
        <v>168</v>
      </c>
      <c r="C183" s="30" t="s">
        <v>165</v>
      </c>
      <c r="D183" s="30" t="s"/>
      <c r="E183" s="31" t="s">
        <v>689</v>
      </c>
      <c r="F183" s="22" t="s"/>
      <c r="G183" s="22" t="s"/>
      <c r="H183" s="22" t="s"/>
      <c r="I183" s="22" t="s"/>
      <c r="J183" s="22" t="s"/>
      <c r="K183" s="22" t="s"/>
      <c r="L183" s="22" t="s"/>
      <c r="M183" s="22" t="s"/>
      <c r="N183" s="22" t="s"/>
      <c r="O183" s="22" t="s"/>
      <c r="P183" s="22" t="s"/>
      <c r="Q183" s="22" t="s"/>
      <c r="R183" s="22" t="s"/>
      <c r="S183" s="22" t="s"/>
      <c r="T183" s="22" t="s"/>
      <c r="U183" s="22" t="s"/>
      <c r="V183" s="22" t="s"/>
      <c r="W183" s="22" t="s"/>
      <c r="X183" s="22" t="s"/>
      <c r="Y183" s="22" t="s"/>
      <c r="Z183" s="22" t="s"/>
    </row>
    <row r="184" spans="1:26" ht="16.8" customHeight="true">
      <c r="A184" s="41" t="s">
        <v>690</v>
      </c>
      <c r="B184" s="30" t="s">
        <v>186</v>
      </c>
      <c r="C184" s="30" t="s">
        <v>165</v>
      </c>
      <c r="D184" s="30" t="s"/>
      <c r="E184" s="31" t="s">
        <v>691</v>
      </c>
      <c r="F184" s="22" t="s"/>
      <c r="G184" s="22" t="s"/>
      <c r="H184" s="22" t="s"/>
      <c r="I184" s="22" t="s"/>
      <c r="J184" s="22" t="s"/>
      <c r="K184" s="22" t="s"/>
      <c r="L184" s="22" t="s"/>
      <c r="M184" s="22" t="s"/>
      <c r="N184" s="22" t="s"/>
      <c r="O184" s="22" t="s"/>
      <c r="P184" s="22" t="s"/>
      <c r="Q184" s="22" t="s"/>
      <c r="R184" s="22" t="s"/>
      <c r="S184" s="22" t="s"/>
      <c r="T184" s="22" t="s"/>
      <c r="U184" s="22" t="s"/>
      <c r="V184" s="22" t="s"/>
      <c r="W184" s="22" t="s"/>
      <c r="X184" s="22" t="s"/>
      <c r="Y184" s="22" t="s"/>
      <c r="Z184" s="22" t="s"/>
    </row>
    <row r="185" spans="1:26" ht="16.8" customHeight="true">
      <c r="A185" s="41" t="s">
        <v>692</v>
      </c>
      <c r="B185" s="30" t="s">
        <v>693</v>
      </c>
      <c r="C185" s="30" t="s">
        <v>165</v>
      </c>
      <c r="D185" s="30" t="s"/>
      <c r="E185" s="31" t="s">
        <v>694</v>
      </c>
      <c r="F185" s="22" t="s"/>
      <c r="G185" s="22" t="s"/>
      <c r="H185" s="22" t="s"/>
      <c r="I185" s="22" t="s"/>
      <c r="J185" s="22" t="s"/>
      <c r="K185" s="22" t="s"/>
      <c r="L185" s="22" t="s"/>
      <c r="M185" s="22" t="s"/>
      <c r="N185" s="22" t="s"/>
      <c r="O185" s="22" t="s"/>
      <c r="P185" s="22" t="s"/>
      <c r="Q185" s="22" t="s"/>
      <c r="R185" s="22" t="s"/>
      <c r="S185" s="22" t="s"/>
      <c r="T185" s="22" t="s"/>
      <c r="U185" s="22" t="s"/>
      <c r="V185" s="22" t="s"/>
      <c r="W185" s="22" t="s"/>
      <c r="X185" s="22" t="s"/>
      <c r="Y185" s="22" t="s"/>
      <c r="Z185" s="22" t="s"/>
    </row>
    <row r="186" spans="1:26" ht="16.8" customHeight="true">
      <c r="A186" s="41" t="s">
        <v>695</v>
      </c>
      <c r="B186" s="30" t="s">
        <v>696</v>
      </c>
      <c r="C186" s="30" t="s">
        <v>263</v>
      </c>
      <c r="D186" s="30" t="s">
        <v>170</v>
      </c>
      <c r="E186" s="31" t="s">
        <v>697</v>
      </c>
      <c r="F186" s="22" t="s"/>
      <c r="G186" s="22" t="s"/>
      <c r="H186" s="22" t="s"/>
      <c r="I186" s="22" t="s"/>
      <c r="J186" s="22" t="s"/>
      <c r="K186" s="22" t="s"/>
      <c r="L186" s="22" t="s"/>
      <c r="M186" s="22" t="s"/>
      <c r="N186" s="22" t="s"/>
      <c r="O186" s="22" t="s"/>
      <c r="P186" s="22" t="s"/>
      <c r="Q186" s="22" t="s"/>
      <c r="R186" s="22" t="s"/>
      <c r="S186" s="22" t="s"/>
      <c r="T186" s="22" t="s"/>
      <c r="U186" s="22" t="s"/>
      <c r="V186" s="22" t="s"/>
      <c r="W186" s="22" t="s"/>
      <c r="X186" s="22" t="s"/>
      <c r="Y186" s="22" t="s"/>
      <c r="Z186" s="22" t="s"/>
    </row>
    <row r="187" spans="1:26" ht="16.8" customHeight="true">
      <c r="A187" s="41" t="s">
        <v>698</v>
      </c>
      <c r="B187" s="30" t="s">
        <v>699</v>
      </c>
      <c r="C187" s="30" t="s">
        <v>443</v>
      </c>
      <c r="D187" s="30" t="s">
        <v>153</v>
      </c>
      <c r="E187" s="31" t="s">
        <v>288</v>
      </c>
      <c r="F187" s="22" t="s"/>
      <c r="G187" s="22" t="s"/>
      <c r="H187" s="22" t="s"/>
      <c r="I187" s="22" t="s"/>
      <c r="J187" s="22" t="s"/>
      <c r="K187" s="22" t="s"/>
      <c r="L187" s="22" t="s"/>
      <c r="M187" s="22" t="s"/>
      <c r="N187" s="22" t="s"/>
      <c r="O187" s="22" t="s"/>
      <c r="P187" s="22" t="s"/>
      <c r="Q187" s="22" t="s"/>
      <c r="R187" s="22" t="s"/>
      <c r="S187" s="22" t="s"/>
      <c r="T187" s="22" t="s"/>
      <c r="U187" s="22" t="s"/>
      <c r="V187" s="22" t="s"/>
      <c r="W187" s="22" t="s"/>
      <c r="X187" s="22" t="s"/>
      <c r="Y187" s="22" t="s"/>
      <c r="Z187" s="22" t="s"/>
    </row>
    <row r="188" spans="1:26" ht="16.8" customHeight="true">
      <c r="A188" s="41" t="s">
        <v>700</v>
      </c>
      <c r="B188" s="30" t="s">
        <v>701</v>
      </c>
      <c r="C188" s="30" t="s">
        <v>702</v>
      </c>
      <c r="D188" s="30" t="s">
        <v>170</v>
      </c>
      <c r="E188" s="31" t="s">
        <v>703</v>
      </c>
      <c r="F188" s="22" t="s"/>
      <c r="G188" s="22" t="s"/>
      <c r="H188" s="22" t="s"/>
      <c r="I188" s="22" t="s"/>
      <c r="J188" s="22" t="s"/>
      <c r="K188" s="22" t="s"/>
      <c r="L188" s="22" t="s"/>
      <c r="M188" s="22" t="s"/>
      <c r="N188" s="22" t="s"/>
      <c r="O188" s="22" t="s"/>
      <c r="P188" s="22" t="s"/>
      <c r="Q188" s="22" t="s"/>
      <c r="R188" s="22" t="s"/>
      <c r="S188" s="22" t="s"/>
      <c r="T188" s="22" t="s"/>
      <c r="U188" s="22" t="s"/>
      <c r="V188" s="22" t="s"/>
      <c r="W188" s="22" t="s"/>
      <c r="X188" s="22" t="s"/>
      <c r="Y188" s="22" t="s"/>
      <c r="Z188" s="22" t="s"/>
    </row>
    <row r="189" spans="1:26" ht="16.8" customHeight="true">
      <c r="A189" s="41" t="s">
        <v>704</v>
      </c>
      <c r="B189" s="30" t="s">
        <v>705</v>
      </c>
      <c r="C189" s="30" t="s">
        <v>702</v>
      </c>
      <c r="D189" s="30" t="s">
        <v>170</v>
      </c>
      <c r="E189" s="31" t="s">
        <v>706</v>
      </c>
      <c r="F189" s="22" t="s"/>
      <c r="G189" s="22" t="s"/>
      <c r="H189" s="22" t="s"/>
      <c r="I189" s="22" t="s"/>
      <c r="J189" s="22" t="s"/>
      <c r="K189" s="22" t="s"/>
      <c r="L189" s="22" t="s"/>
      <c r="M189" s="22" t="s"/>
      <c r="N189" s="22" t="s"/>
      <c r="O189" s="22" t="s"/>
      <c r="P189" s="22" t="s"/>
      <c r="Q189" s="22" t="s"/>
      <c r="R189" s="22" t="s"/>
      <c r="S189" s="22" t="s"/>
      <c r="T189" s="22" t="s"/>
      <c r="U189" s="22" t="s"/>
      <c r="V189" s="22" t="s"/>
      <c r="W189" s="22" t="s"/>
      <c r="X189" s="22" t="s"/>
      <c r="Y189" s="22" t="s"/>
      <c r="Z189" s="22" t="s"/>
    </row>
    <row r="190" spans="1:26" ht="16.8" customHeight="true">
      <c r="A190" s="41" t="s">
        <v>707</v>
      </c>
      <c r="B190" s="30" t="s">
        <v>708</v>
      </c>
      <c r="C190" s="30" t="s">
        <v>236</v>
      </c>
      <c r="D190" s="30" t="s">
        <v>153</v>
      </c>
      <c r="E190" s="31" t="s">
        <v>709</v>
      </c>
      <c r="F190" s="22" t="s"/>
      <c r="G190" s="22" t="s"/>
      <c r="H190" s="22" t="s"/>
      <c r="I190" s="22" t="s"/>
      <c r="J190" s="22" t="s"/>
      <c r="K190" s="22" t="s"/>
      <c r="L190" s="22" t="s"/>
      <c r="M190" s="22" t="s"/>
      <c r="N190" s="22" t="s"/>
      <c r="O190" s="22" t="s"/>
      <c r="P190" s="22" t="s"/>
      <c r="Q190" s="22" t="s"/>
      <c r="R190" s="22" t="s"/>
      <c r="S190" s="22" t="s"/>
      <c r="T190" s="22" t="s"/>
      <c r="U190" s="22" t="s"/>
      <c r="V190" s="22" t="s"/>
      <c r="W190" s="22" t="s"/>
      <c r="X190" s="22" t="s"/>
      <c r="Y190" s="22" t="s"/>
      <c r="Z190" s="22" t="s"/>
    </row>
    <row r="191" spans="1:26" ht="16.8" customHeight="true">
      <c r="A191" s="41" t="s">
        <v>710</v>
      </c>
      <c r="B191" s="30" t="s">
        <v>711</v>
      </c>
      <c r="C191" s="30" t="s">
        <v>236</v>
      </c>
      <c r="D191" s="30" t="s">
        <v>153</v>
      </c>
      <c r="E191" s="31" t="s">
        <v>712</v>
      </c>
      <c r="F191" s="22" t="s"/>
      <c r="G191" s="22" t="s"/>
      <c r="H191" s="22" t="s"/>
      <c r="I191" s="22" t="s"/>
      <c r="J191" s="22" t="s"/>
      <c r="K191" s="22" t="s"/>
      <c r="L191" s="22" t="s"/>
      <c r="M191" s="22" t="s"/>
      <c r="N191" s="22" t="s"/>
      <c r="O191" s="22" t="s"/>
      <c r="P191" s="22" t="s"/>
      <c r="Q191" s="22" t="s"/>
      <c r="R191" s="22" t="s"/>
      <c r="S191" s="22" t="s"/>
      <c r="T191" s="22" t="s"/>
      <c r="U191" s="22" t="s"/>
      <c r="V191" s="22" t="s"/>
      <c r="W191" s="22" t="s"/>
      <c r="X191" s="22" t="s"/>
      <c r="Y191" s="22" t="s"/>
      <c r="Z191" s="22" t="s"/>
    </row>
    <row r="192" spans="1:26" ht="16.8" customHeight="true">
      <c r="A192" s="41" t="s">
        <v>713</v>
      </c>
      <c r="B192" s="30" t="s">
        <v>714</v>
      </c>
      <c r="C192" s="30" t="s">
        <v>263</v>
      </c>
      <c r="D192" s="30" t="s">
        <v>715</v>
      </c>
      <c r="E192" s="31" t="s">
        <v>716</v>
      </c>
      <c r="F192" s="22" t="s"/>
      <c r="G192" s="22" t="s"/>
      <c r="H192" s="22" t="s"/>
      <c r="I192" s="22" t="s"/>
      <c r="J192" s="22" t="s"/>
      <c r="K192" s="22" t="s"/>
      <c r="L192" s="22" t="s"/>
      <c r="M192" s="22" t="s"/>
      <c r="N192" s="22" t="s"/>
      <c r="O192" s="22" t="s"/>
      <c r="P192" s="22" t="s"/>
      <c r="Q192" s="22" t="s"/>
      <c r="R192" s="22" t="s"/>
      <c r="S192" s="22" t="s"/>
      <c r="T192" s="22" t="s"/>
      <c r="U192" s="22" t="s"/>
      <c r="V192" s="22" t="s"/>
      <c r="W192" s="22" t="s"/>
      <c r="X192" s="22" t="s"/>
      <c r="Y192" s="22" t="s"/>
      <c r="Z192" s="22" t="s"/>
    </row>
    <row r="193" spans="1:26" ht="16.8" customHeight="true">
      <c r="A193" s="41" t="s">
        <v>717</v>
      </c>
      <c r="B193" s="30" t="s">
        <v>718</v>
      </c>
      <c r="C193" s="30" t="s">
        <v>165</v>
      </c>
      <c r="D193" s="30" t="s"/>
      <c r="E193" s="31" t="s">
        <v>719</v>
      </c>
      <c r="F193" s="22" t="s"/>
      <c r="G193" s="22" t="s"/>
      <c r="H193" s="22" t="s"/>
      <c r="I193" s="22" t="s"/>
      <c r="J193" s="22" t="s"/>
      <c r="K193" s="22" t="s"/>
      <c r="L193" s="22" t="s"/>
      <c r="M193" s="22" t="s"/>
      <c r="N193" s="22" t="s"/>
      <c r="O193" s="22" t="s"/>
      <c r="P193" s="22" t="s"/>
      <c r="Q193" s="22" t="s"/>
      <c r="R193" s="22" t="s"/>
      <c r="S193" s="22" t="s"/>
      <c r="T193" s="22" t="s"/>
      <c r="U193" s="22" t="s"/>
      <c r="V193" s="22" t="s"/>
      <c r="W193" s="22" t="s"/>
      <c r="X193" s="22" t="s"/>
      <c r="Y193" s="22" t="s"/>
      <c r="Z193" s="22" t="s"/>
    </row>
    <row r="194" spans="1:26" ht="16.8" customHeight="true">
      <c r="A194" s="41" t="s">
        <v>720</v>
      </c>
      <c r="B194" s="30" t="s">
        <v>721</v>
      </c>
      <c r="C194" s="30" t="s">
        <v>165</v>
      </c>
      <c r="D194" s="30" t="s"/>
      <c r="E194" s="31" t="s">
        <v>722</v>
      </c>
      <c r="F194" s="22" t="s"/>
      <c r="G194" s="22" t="s"/>
      <c r="H194" s="22" t="s"/>
      <c r="I194" s="22" t="s"/>
      <c r="J194" s="22" t="s"/>
      <c r="K194" s="22" t="s"/>
      <c r="L194" s="22" t="s"/>
      <c r="M194" s="22" t="s"/>
      <c r="N194" s="22" t="s"/>
      <c r="O194" s="22" t="s"/>
      <c r="P194" s="22" t="s"/>
      <c r="Q194" s="22" t="s"/>
      <c r="R194" s="22" t="s"/>
      <c r="S194" s="22" t="s"/>
      <c r="T194" s="22" t="s"/>
      <c r="U194" s="22" t="s"/>
      <c r="V194" s="22" t="s"/>
      <c r="W194" s="22" t="s"/>
      <c r="X194" s="22" t="s"/>
      <c r="Y194" s="22" t="s"/>
      <c r="Z194" s="22" t="s"/>
    </row>
    <row r="195" spans="1:26" ht="16.8" customHeight="true">
      <c r="A195" s="41" t="s">
        <v>723</v>
      </c>
      <c r="B195" s="30" t="s">
        <v>724</v>
      </c>
      <c r="C195" s="30" t="s">
        <v>165</v>
      </c>
      <c r="D195" s="30" t="s"/>
      <c r="E195" s="31" t="s">
        <v>725</v>
      </c>
      <c r="F195" s="22" t="s"/>
      <c r="G195" s="22" t="s"/>
      <c r="H195" s="22" t="s"/>
      <c r="I195" s="22" t="s"/>
      <c r="J195" s="22" t="s"/>
      <c r="K195" s="22" t="s"/>
      <c r="L195" s="22" t="s"/>
      <c r="M195" s="22" t="s"/>
      <c r="N195" s="22" t="s"/>
      <c r="O195" s="22" t="s"/>
      <c r="P195" s="22" t="s"/>
      <c r="Q195" s="22" t="s"/>
      <c r="R195" s="22" t="s"/>
      <c r="S195" s="22" t="s"/>
      <c r="T195" s="22" t="s"/>
      <c r="U195" s="22" t="s"/>
      <c r="V195" s="22" t="s"/>
      <c r="W195" s="22" t="s"/>
      <c r="X195" s="22" t="s"/>
      <c r="Y195" s="22" t="s"/>
      <c r="Z195" s="22" t="s"/>
    </row>
    <row r="196" spans="1:26" ht="16.8" customHeight="true">
      <c r="A196" s="41" t="s">
        <v>726</v>
      </c>
      <c r="B196" s="30" t="s">
        <v>727</v>
      </c>
      <c r="C196" s="30" t="s">
        <v>165</v>
      </c>
      <c r="D196" s="30" t="s"/>
      <c r="E196" s="31" t="s">
        <v>728</v>
      </c>
      <c r="F196" s="22" t="s"/>
      <c r="G196" s="22" t="s"/>
      <c r="H196" s="22" t="s"/>
      <c r="I196" s="22" t="s"/>
      <c r="J196" s="22" t="s"/>
      <c r="K196" s="22" t="s"/>
      <c r="L196" s="22" t="s"/>
      <c r="M196" s="22" t="s"/>
      <c r="N196" s="22" t="s"/>
      <c r="O196" s="22" t="s"/>
      <c r="P196" s="22" t="s"/>
      <c r="Q196" s="22" t="s"/>
      <c r="R196" s="22" t="s"/>
      <c r="S196" s="22" t="s"/>
      <c r="T196" s="22" t="s"/>
      <c r="U196" s="22" t="s"/>
      <c r="V196" s="22" t="s"/>
      <c r="W196" s="22" t="s"/>
      <c r="X196" s="22" t="s"/>
      <c r="Y196" s="22" t="s"/>
      <c r="Z196" s="22" t="s"/>
    </row>
    <row r="197" spans="1:26" ht="16.8" customHeight="true">
      <c r="A197" s="41" t="s">
        <v>729</v>
      </c>
      <c r="B197" s="30" t="s">
        <v>730</v>
      </c>
      <c r="C197" s="30" t="s">
        <v>165</v>
      </c>
      <c r="D197" s="30" t="s"/>
      <c r="E197" s="31" t="s">
        <v>731</v>
      </c>
      <c r="F197" s="22" t="s"/>
      <c r="G197" s="22" t="s"/>
      <c r="H197" s="22" t="s"/>
      <c r="I197" s="22" t="s"/>
      <c r="J197" s="22" t="s"/>
      <c r="K197" s="22" t="s"/>
      <c r="L197" s="22" t="s"/>
      <c r="M197" s="22" t="s"/>
      <c r="N197" s="22" t="s"/>
      <c r="O197" s="22" t="s"/>
      <c r="P197" s="22" t="s"/>
      <c r="Q197" s="22" t="s"/>
      <c r="R197" s="22" t="s"/>
      <c r="S197" s="22" t="s"/>
      <c r="T197" s="22" t="s"/>
      <c r="U197" s="22" t="s"/>
      <c r="V197" s="22" t="s"/>
      <c r="W197" s="22" t="s"/>
      <c r="X197" s="22" t="s"/>
      <c r="Y197" s="22" t="s"/>
      <c r="Z197" s="22" t="s"/>
    </row>
    <row r="198" spans="1:26" ht="16.8" customHeight="true">
      <c r="A198" s="41" t="s">
        <v>732</v>
      </c>
      <c r="B198" s="30" t="s">
        <v>733</v>
      </c>
      <c r="C198" s="30" t="s">
        <v>165</v>
      </c>
      <c r="D198" s="30" t="s"/>
      <c r="E198" s="31" t="s">
        <v>734</v>
      </c>
      <c r="F198" s="22" t="s"/>
      <c r="G198" s="22" t="s"/>
      <c r="H198" s="22" t="s"/>
      <c r="I198" s="22" t="s"/>
      <c r="J198" s="22" t="s"/>
      <c r="K198" s="22" t="s"/>
      <c r="L198" s="22" t="s"/>
      <c r="M198" s="22" t="s"/>
      <c r="N198" s="22" t="s"/>
      <c r="O198" s="22" t="s"/>
      <c r="P198" s="22" t="s"/>
      <c r="Q198" s="22" t="s"/>
      <c r="R198" s="22" t="s"/>
      <c r="S198" s="22" t="s"/>
      <c r="T198" s="22" t="s"/>
      <c r="U198" s="22" t="s"/>
      <c r="V198" s="22" t="s"/>
      <c r="W198" s="22" t="s"/>
      <c r="X198" s="22" t="s"/>
      <c r="Y198" s="22" t="s"/>
      <c r="Z198" s="22" t="s"/>
    </row>
    <row r="199" spans="1:26" ht="16.8" customHeight="true">
      <c r="A199" s="41" t="s">
        <v>735</v>
      </c>
      <c r="B199" s="30" t="s">
        <v>736</v>
      </c>
      <c r="C199" s="30" t="s">
        <v>152</v>
      </c>
      <c r="D199" s="30" t="s">
        <v>170</v>
      </c>
      <c r="E199" s="31" t="s">
        <v>737</v>
      </c>
      <c r="F199" s="22" t="s"/>
      <c r="G199" s="22" t="s"/>
      <c r="H199" s="22" t="s"/>
      <c r="I199" s="22" t="s"/>
      <c r="J199" s="22" t="s"/>
      <c r="K199" s="22" t="s"/>
      <c r="L199" s="22" t="s"/>
      <c r="M199" s="22" t="s"/>
      <c r="N199" s="22" t="s"/>
      <c r="O199" s="22" t="s"/>
      <c r="P199" s="22" t="s"/>
      <c r="Q199" s="22" t="s"/>
      <c r="R199" s="22" t="s"/>
      <c r="S199" s="22" t="s"/>
      <c r="T199" s="22" t="s"/>
      <c r="U199" s="22" t="s"/>
      <c r="V199" s="22" t="s"/>
      <c r="W199" s="22" t="s"/>
      <c r="X199" s="22" t="s"/>
      <c r="Y199" s="22" t="s"/>
      <c r="Z199" s="22" t="s"/>
    </row>
    <row r="200" spans="1:26" ht="16.8" customHeight="true">
      <c r="A200" s="41" t="s">
        <v>738</v>
      </c>
      <c r="B200" s="30" t="s">
        <v>739</v>
      </c>
      <c r="C200" s="30" t="s">
        <v>142</v>
      </c>
      <c r="D200" s="30" t="s"/>
      <c r="E200" s="31" t="s">
        <v>740</v>
      </c>
      <c r="F200" s="22" t="s"/>
      <c r="G200" s="22" t="s"/>
      <c r="H200" s="22" t="s"/>
      <c r="I200" s="22" t="s"/>
      <c r="J200" s="22" t="s"/>
      <c r="K200" s="22" t="s"/>
      <c r="L200" s="22" t="s"/>
      <c r="M200" s="22" t="s"/>
      <c r="N200" s="22" t="s"/>
      <c r="O200" s="22" t="s"/>
      <c r="P200" s="22" t="s"/>
      <c r="Q200" s="22" t="s"/>
      <c r="R200" s="22" t="s"/>
      <c r="S200" s="22" t="s"/>
      <c r="T200" s="22" t="s"/>
      <c r="U200" s="22" t="s"/>
      <c r="V200" s="22" t="s"/>
      <c r="W200" s="22" t="s"/>
      <c r="X200" s="22" t="s"/>
      <c r="Y200" s="22" t="s"/>
      <c r="Z200" s="22" t="s"/>
    </row>
    <row r="201" spans="1:26" ht="16.8" customHeight="true">
      <c r="A201" s="41" t="s">
        <v>741</v>
      </c>
      <c r="B201" s="30" t="s">
        <v>742</v>
      </c>
      <c r="C201" s="30" t="s">
        <v>165</v>
      </c>
      <c r="D201" s="30" t="s"/>
      <c r="E201" s="31" t="s">
        <v>743</v>
      </c>
      <c r="F201" s="22" t="s"/>
      <c r="G201" s="22" t="s"/>
      <c r="H201" s="22" t="s"/>
      <c r="I201" s="22" t="s"/>
      <c r="J201" s="22" t="s"/>
      <c r="K201" s="22" t="s"/>
      <c r="L201" s="22" t="s"/>
      <c r="M201" s="22" t="s"/>
      <c r="N201" s="22" t="s"/>
      <c r="O201" s="22" t="s"/>
      <c r="P201" s="22" t="s"/>
      <c r="Q201" s="22" t="s"/>
      <c r="R201" s="22" t="s"/>
      <c r="S201" s="22" t="s"/>
      <c r="T201" s="22" t="s"/>
      <c r="U201" s="22" t="s"/>
      <c r="V201" s="22" t="s"/>
      <c r="W201" s="22" t="s"/>
      <c r="X201" s="22" t="s"/>
      <c r="Y201" s="22" t="s"/>
      <c r="Z201" s="22" t="s"/>
    </row>
    <row r="202" spans="1:26" ht="16.8" customHeight="true">
      <c r="A202" s="41" t="s">
        <v>744</v>
      </c>
      <c r="B202" s="30" t="s">
        <v>745</v>
      </c>
      <c r="C202" s="30" t="s">
        <v>165</v>
      </c>
      <c r="D202" s="30" t="s"/>
      <c r="E202" s="31" t="s">
        <v>746</v>
      </c>
      <c r="F202" s="22" t="s"/>
      <c r="G202" s="22" t="s"/>
      <c r="H202" s="22" t="s"/>
      <c r="I202" s="22" t="s"/>
      <c r="J202" s="22" t="s"/>
      <c r="K202" s="22" t="s"/>
      <c r="L202" s="22" t="s"/>
      <c r="M202" s="22" t="s"/>
      <c r="N202" s="22" t="s"/>
      <c r="O202" s="22" t="s"/>
      <c r="P202" s="22" t="s"/>
      <c r="Q202" s="22" t="s"/>
      <c r="R202" s="22" t="s"/>
      <c r="S202" s="22" t="s"/>
      <c r="T202" s="22" t="s"/>
      <c r="U202" s="22" t="s"/>
      <c r="V202" s="22" t="s"/>
      <c r="W202" s="22" t="s"/>
      <c r="X202" s="22" t="s"/>
      <c r="Y202" s="22" t="s"/>
      <c r="Z202" s="22" t="s"/>
    </row>
    <row r="203" spans="1:26" ht="16.8" customHeight="true">
      <c r="A203" s="41" t="s">
        <v>747</v>
      </c>
      <c r="B203" s="30" t="s">
        <v>748</v>
      </c>
      <c r="C203" s="30" t="s">
        <v>165</v>
      </c>
      <c r="D203" s="30" t="s"/>
      <c r="E203" s="31" t="s">
        <v>749</v>
      </c>
      <c r="F203" s="22" t="s"/>
      <c r="G203" s="22" t="s"/>
      <c r="H203" s="22" t="s"/>
      <c r="I203" s="22" t="s"/>
      <c r="J203" s="22" t="s"/>
      <c r="K203" s="22" t="s"/>
      <c r="L203" s="22" t="s"/>
      <c r="M203" s="22" t="s"/>
      <c r="N203" s="22" t="s"/>
      <c r="O203" s="22" t="s"/>
      <c r="P203" s="22" t="s"/>
      <c r="Q203" s="22" t="s"/>
      <c r="R203" s="22" t="s"/>
      <c r="S203" s="22" t="s"/>
      <c r="T203" s="22" t="s"/>
      <c r="U203" s="22" t="s"/>
      <c r="V203" s="22" t="s"/>
      <c r="W203" s="22" t="s"/>
      <c r="X203" s="22" t="s"/>
      <c r="Y203" s="22" t="s"/>
      <c r="Z203" s="22" t="s"/>
    </row>
    <row r="204" spans="1:26" ht="16.8" customHeight="true">
      <c r="A204" s="41" t="s">
        <v>750</v>
      </c>
      <c r="B204" s="30" t="s">
        <v>751</v>
      </c>
      <c r="C204" s="30" t="s">
        <v>236</v>
      </c>
      <c r="D204" s="30" t="s"/>
      <c r="E204" s="31" t="s">
        <v>752</v>
      </c>
      <c r="F204" s="22" t="s"/>
      <c r="G204" s="22" t="s"/>
      <c r="H204" s="22" t="s"/>
      <c r="I204" s="22" t="s"/>
      <c r="J204" s="22" t="s"/>
      <c r="K204" s="22" t="s"/>
      <c r="L204" s="22" t="s"/>
      <c r="M204" s="22" t="s"/>
      <c r="N204" s="22" t="s"/>
      <c r="O204" s="22" t="s"/>
      <c r="P204" s="22" t="s"/>
      <c r="Q204" s="22" t="s"/>
      <c r="R204" s="22" t="s"/>
      <c r="S204" s="22" t="s"/>
      <c r="T204" s="22" t="s"/>
      <c r="U204" s="22" t="s"/>
      <c r="V204" s="22" t="s"/>
      <c r="W204" s="22" t="s"/>
      <c r="X204" s="22" t="s"/>
      <c r="Y204" s="22" t="s"/>
      <c r="Z204" s="22" t="s"/>
    </row>
    <row r="205" spans="1:26" ht="16.8" customHeight="true">
      <c r="A205" s="41" t="s">
        <v>753</v>
      </c>
      <c r="B205" s="30" t="s">
        <v>754</v>
      </c>
      <c r="C205" s="30" t="s">
        <v>165</v>
      </c>
      <c r="D205" s="30" t="s">
        <v>170</v>
      </c>
      <c r="E205" s="31" t="s">
        <v>288</v>
      </c>
      <c r="F205" s="22" t="s"/>
      <c r="G205" s="22" t="s"/>
      <c r="H205" s="22" t="s"/>
      <c r="I205" s="22" t="s"/>
      <c r="J205" s="22" t="s"/>
      <c r="K205" s="22" t="s"/>
      <c r="L205" s="22" t="s"/>
      <c r="M205" s="22" t="s"/>
      <c r="N205" s="22" t="s"/>
      <c r="O205" s="22" t="s"/>
      <c r="P205" s="22" t="s"/>
      <c r="Q205" s="22" t="s"/>
      <c r="R205" s="22" t="s"/>
      <c r="S205" s="22" t="s"/>
      <c r="T205" s="22" t="s"/>
      <c r="U205" s="22" t="s"/>
      <c r="V205" s="22" t="s"/>
      <c r="W205" s="22" t="s"/>
      <c r="X205" s="22" t="s"/>
      <c r="Y205" s="22" t="s"/>
      <c r="Z205" s="22" t="s"/>
    </row>
    <row r="206" spans="1:26" ht="16.8" customHeight="true">
      <c r="A206" s="41" t="s">
        <v>755</v>
      </c>
      <c r="B206" s="30" t="s">
        <v>756</v>
      </c>
      <c r="C206" s="30" t="s">
        <v>165</v>
      </c>
      <c r="D206" s="30" t="s"/>
      <c r="E206" s="31" t="s">
        <v>757</v>
      </c>
      <c r="F206" s="22" t="s"/>
      <c r="G206" s="22" t="s"/>
      <c r="H206" s="22" t="s"/>
      <c r="I206" s="22" t="s"/>
      <c r="J206" s="22" t="s"/>
      <c r="K206" s="22" t="s"/>
      <c r="L206" s="22" t="s"/>
      <c r="M206" s="22" t="s"/>
      <c r="N206" s="22" t="s"/>
      <c r="O206" s="22" t="s"/>
      <c r="P206" s="22" t="s"/>
      <c r="Q206" s="22" t="s"/>
      <c r="R206" s="22" t="s"/>
      <c r="S206" s="22" t="s"/>
      <c r="T206" s="22" t="s"/>
      <c r="U206" s="22" t="s"/>
      <c r="V206" s="22" t="s"/>
      <c r="W206" s="22" t="s"/>
      <c r="X206" s="22" t="s"/>
      <c r="Y206" s="22" t="s"/>
      <c r="Z206" s="22" t="s"/>
    </row>
    <row r="207" spans="1:26" ht="16.8" customHeight="true">
      <c r="A207" s="41" t="s">
        <v>758</v>
      </c>
      <c r="B207" s="30" t="s">
        <v>759</v>
      </c>
      <c r="C207" s="30" t="s">
        <v>165</v>
      </c>
      <c r="D207" s="30" t="s"/>
      <c r="E207" s="31" t="s">
        <v>760</v>
      </c>
      <c r="F207" s="22" t="s"/>
      <c r="G207" s="22" t="s"/>
      <c r="H207" s="22" t="s"/>
      <c r="I207" s="22" t="s"/>
      <c r="J207" s="22" t="s"/>
      <c r="K207" s="22" t="s"/>
      <c r="L207" s="22" t="s"/>
      <c r="M207" s="22" t="s"/>
      <c r="N207" s="22" t="s"/>
      <c r="O207" s="22" t="s"/>
      <c r="P207" s="22" t="s"/>
      <c r="Q207" s="22" t="s"/>
      <c r="R207" s="22" t="s"/>
      <c r="S207" s="22" t="s"/>
      <c r="T207" s="22" t="s"/>
      <c r="U207" s="22" t="s"/>
      <c r="V207" s="22" t="s"/>
      <c r="W207" s="22" t="s"/>
      <c r="X207" s="22" t="s"/>
      <c r="Y207" s="22" t="s"/>
      <c r="Z207" s="22" t="s"/>
    </row>
    <row r="208" spans="1:26" ht="16.8" customHeight="true">
      <c r="A208" s="41" t="s">
        <v>493</v>
      </c>
      <c r="B208" s="30" t="s">
        <v>494</v>
      </c>
      <c r="C208" s="30" t="s">
        <v>165</v>
      </c>
      <c r="D208" s="30" t="s"/>
      <c r="E208" s="31" t="s">
        <v>761</v>
      </c>
      <c r="F208" s="22" t="s"/>
      <c r="G208" s="22" t="s"/>
      <c r="H208" s="22" t="s"/>
      <c r="I208" s="22" t="s"/>
      <c r="J208" s="22" t="s"/>
      <c r="K208" s="22" t="s"/>
      <c r="L208" s="22" t="s"/>
      <c r="M208" s="22" t="s"/>
      <c r="N208" s="22" t="s"/>
      <c r="O208" s="22" t="s"/>
      <c r="P208" s="22" t="s"/>
      <c r="Q208" s="22" t="s"/>
      <c r="R208" s="22" t="s"/>
      <c r="S208" s="22" t="s"/>
      <c r="T208" s="22" t="s"/>
      <c r="U208" s="22" t="s"/>
      <c r="V208" s="22" t="s"/>
      <c r="W208" s="22" t="s"/>
      <c r="X208" s="22" t="s"/>
      <c r="Y208" s="22" t="s"/>
      <c r="Z208" s="22" t="s"/>
    </row>
    <row r="209" spans="1:26" ht="16.8" customHeight="true">
      <c r="A209" s="41" t="s">
        <v>762</v>
      </c>
      <c r="B209" s="30" t="s">
        <v>763</v>
      </c>
      <c r="C209" s="30" t="s">
        <v>165</v>
      </c>
      <c r="D209" s="30" t="s"/>
      <c r="E209" s="31" t="s">
        <v>764</v>
      </c>
      <c r="F209" s="22" t="s"/>
      <c r="G209" s="22" t="s"/>
      <c r="H209" s="22" t="s"/>
      <c r="I209" s="22" t="s"/>
      <c r="J209" s="22" t="s"/>
      <c r="K209" s="22" t="s"/>
      <c r="L209" s="22" t="s"/>
      <c r="M209" s="22" t="s"/>
      <c r="N209" s="22" t="s"/>
      <c r="O209" s="22" t="s"/>
      <c r="P209" s="22" t="s"/>
      <c r="Q209" s="22" t="s"/>
      <c r="R209" s="22" t="s"/>
      <c r="S209" s="22" t="s"/>
      <c r="T209" s="22" t="s"/>
      <c r="U209" s="22" t="s"/>
      <c r="V209" s="22" t="s"/>
      <c r="W209" s="22" t="s"/>
      <c r="X209" s="22" t="s"/>
      <c r="Y209" s="22" t="s"/>
      <c r="Z209" s="22" t="s"/>
    </row>
    <row r="210" spans="1:26" ht="16.8" customHeight="true">
      <c r="A210" s="41" t="s">
        <v>765</v>
      </c>
      <c r="B210" s="30" t="s">
        <v>373</v>
      </c>
      <c r="C210" s="30" t="s">
        <v>702</v>
      </c>
      <c r="D210" s="30" t="s">
        <v>766</v>
      </c>
      <c r="E210" s="31" t="s">
        <v>767</v>
      </c>
      <c r="F210" s="22" t="s"/>
      <c r="G210" s="22" t="s"/>
      <c r="H210" s="22" t="s"/>
      <c r="I210" s="22" t="s"/>
      <c r="J210" s="22" t="s"/>
      <c r="K210" s="22" t="s"/>
      <c r="L210" s="22" t="s"/>
      <c r="M210" s="22" t="s"/>
      <c r="N210" s="22" t="s"/>
      <c r="O210" s="22" t="s"/>
      <c r="P210" s="22" t="s"/>
      <c r="Q210" s="22" t="s"/>
      <c r="R210" s="22" t="s"/>
      <c r="S210" s="22" t="s"/>
      <c r="T210" s="22" t="s"/>
      <c r="U210" s="22" t="s"/>
      <c r="V210" s="22" t="s"/>
      <c r="W210" s="22" t="s"/>
      <c r="X210" s="22" t="s"/>
      <c r="Y210" s="22" t="s"/>
      <c r="Z210" s="22" t="s"/>
    </row>
    <row r="211" spans="1:26" ht="16.8" customHeight="true">
      <c r="A211" s="41" t="s">
        <v>768</v>
      </c>
      <c r="B211" s="30" t="s">
        <v>769</v>
      </c>
      <c r="C211" s="30" t="s">
        <v>165</v>
      </c>
      <c r="D211" s="30" t="s"/>
      <c r="E211" s="31" t="s">
        <v>770</v>
      </c>
      <c r="F211" s="22" t="s"/>
      <c r="G211" s="22" t="s"/>
      <c r="H211" s="22" t="s"/>
      <c r="I211" s="22" t="s"/>
      <c r="J211" s="22" t="s"/>
      <c r="K211" s="22" t="s"/>
      <c r="L211" s="22" t="s"/>
      <c r="M211" s="22" t="s"/>
      <c r="N211" s="22" t="s"/>
      <c r="O211" s="22" t="s"/>
      <c r="P211" s="22" t="s"/>
      <c r="Q211" s="22" t="s"/>
      <c r="R211" s="22" t="s"/>
      <c r="S211" s="22" t="s"/>
      <c r="T211" s="22" t="s"/>
      <c r="U211" s="22" t="s"/>
      <c r="V211" s="22" t="s"/>
      <c r="W211" s="22" t="s"/>
      <c r="X211" s="22" t="s"/>
      <c r="Y211" s="22" t="s"/>
      <c r="Z211" s="22" t="s"/>
    </row>
    <row r="212" spans="1:26" ht="16.8" customHeight="true">
      <c r="A212" s="41" t="s">
        <v>771</v>
      </c>
      <c r="B212" s="30" t="s">
        <v>772</v>
      </c>
      <c r="C212" s="30" t="s">
        <v>165</v>
      </c>
      <c r="D212" s="30" t="s"/>
      <c r="E212" s="31" t="s">
        <v>773</v>
      </c>
      <c r="F212" s="22" t="s"/>
      <c r="G212" s="22" t="s"/>
      <c r="H212" s="22" t="s"/>
      <c r="I212" s="22" t="s"/>
      <c r="J212" s="22" t="s"/>
      <c r="K212" s="22" t="s"/>
      <c r="L212" s="22" t="s"/>
      <c r="M212" s="22" t="s"/>
      <c r="N212" s="22" t="s"/>
      <c r="O212" s="22" t="s"/>
      <c r="P212" s="22" t="s"/>
      <c r="Q212" s="22" t="s"/>
      <c r="R212" s="22" t="s"/>
      <c r="S212" s="22" t="s"/>
      <c r="T212" s="22" t="s"/>
      <c r="U212" s="22" t="s"/>
      <c r="V212" s="22" t="s"/>
      <c r="W212" s="22" t="s"/>
      <c r="X212" s="22" t="s"/>
      <c r="Y212" s="22" t="s"/>
      <c r="Z212" s="22" t="s"/>
    </row>
    <row r="213" spans="1:26" ht="16.8" customHeight="true">
      <c r="A213" s="41" t="s">
        <v>774</v>
      </c>
      <c r="B213" s="30" t="s">
        <v>775</v>
      </c>
      <c r="C213" s="30" t="s">
        <v>165</v>
      </c>
      <c r="D213" s="30" t="s"/>
      <c r="E213" s="31" t="s">
        <v>776</v>
      </c>
      <c r="F213" s="22" t="s"/>
      <c r="G213" s="22" t="s"/>
      <c r="H213" s="22" t="s"/>
      <c r="I213" s="22" t="s"/>
      <c r="J213" s="22" t="s"/>
      <c r="K213" s="22" t="s"/>
      <c r="L213" s="22" t="s"/>
      <c r="M213" s="22" t="s"/>
      <c r="N213" s="22" t="s"/>
      <c r="O213" s="22" t="s"/>
      <c r="P213" s="22" t="s"/>
      <c r="Q213" s="22" t="s"/>
      <c r="R213" s="22" t="s"/>
      <c r="S213" s="22" t="s"/>
      <c r="T213" s="22" t="s"/>
      <c r="U213" s="22" t="s"/>
      <c r="V213" s="22" t="s"/>
      <c r="W213" s="22" t="s"/>
      <c r="X213" s="22" t="s"/>
      <c r="Y213" s="22" t="s"/>
      <c r="Z213" s="22" t="s"/>
    </row>
    <row r="214" spans="1:26" ht="16.8" customHeight="true">
      <c r="A214" s="41" t="s">
        <v>777</v>
      </c>
      <c r="B214" s="30" t="s">
        <v>778</v>
      </c>
      <c r="C214" s="30" t="s">
        <v>165</v>
      </c>
      <c r="D214" s="30" t="s"/>
      <c r="E214" s="31" t="s">
        <v>779</v>
      </c>
      <c r="F214" s="22" t="s"/>
      <c r="G214" s="22" t="s"/>
      <c r="H214" s="22" t="s"/>
      <c r="I214" s="22" t="s"/>
      <c r="J214" s="22" t="s"/>
      <c r="K214" s="22" t="s"/>
      <c r="L214" s="22" t="s"/>
      <c r="M214" s="22" t="s"/>
      <c r="N214" s="22" t="s"/>
      <c r="O214" s="22" t="s"/>
      <c r="P214" s="22" t="s"/>
      <c r="Q214" s="22" t="s"/>
      <c r="R214" s="22" t="s"/>
      <c r="S214" s="22" t="s"/>
      <c r="T214" s="22" t="s"/>
      <c r="U214" s="22" t="s"/>
      <c r="V214" s="22" t="s"/>
      <c r="W214" s="22" t="s"/>
      <c r="X214" s="22" t="s"/>
      <c r="Y214" s="22" t="s"/>
      <c r="Z214" s="22" t="s"/>
    </row>
    <row r="215" spans="1:26" ht="16.8" customHeight="true">
      <c r="A215" s="41" t="s">
        <v>780</v>
      </c>
      <c r="B215" s="30" t="s">
        <v>781</v>
      </c>
      <c r="C215" s="30" t="s">
        <v>165</v>
      </c>
      <c r="D215" s="30" t="s"/>
      <c r="E215" s="31" t="s">
        <v>782</v>
      </c>
      <c r="F215" s="22" t="s"/>
      <c r="G215" s="22" t="s"/>
      <c r="H215" s="22" t="s"/>
      <c r="I215" s="22" t="s"/>
      <c r="J215" s="22" t="s"/>
      <c r="K215" s="22" t="s"/>
      <c r="L215" s="22" t="s"/>
      <c r="M215" s="22" t="s"/>
      <c r="N215" s="22" t="s"/>
      <c r="O215" s="22" t="s"/>
      <c r="P215" s="22" t="s"/>
      <c r="Q215" s="22" t="s"/>
      <c r="R215" s="22" t="s"/>
      <c r="S215" s="22" t="s"/>
      <c r="T215" s="22" t="s"/>
      <c r="U215" s="22" t="s"/>
      <c r="V215" s="22" t="s"/>
      <c r="W215" s="22" t="s"/>
      <c r="X215" s="22" t="s"/>
      <c r="Y215" s="22" t="s"/>
      <c r="Z215" s="22" t="s"/>
    </row>
    <row r="216" spans="1:26" ht="16.8" customHeight="true">
      <c r="A216" s="41" t="s">
        <v>783</v>
      </c>
      <c r="B216" s="30" t="s">
        <v>784</v>
      </c>
      <c r="C216" s="30" t="s">
        <v>165</v>
      </c>
      <c r="D216" s="30" t="s">
        <v>785</v>
      </c>
      <c r="E216" s="31" t="s">
        <v>786</v>
      </c>
      <c r="F216" s="22" t="s"/>
      <c r="G216" s="22" t="s"/>
      <c r="H216" s="22" t="s"/>
      <c r="I216" s="22" t="s"/>
      <c r="J216" s="22" t="s"/>
      <c r="K216" s="22" t="s"/>
      <c r="L216" s="22" t="s"/>
      <c r="M216" s="22" t="s"/>
      <c r="N216" s="22" t="s"/>
      <c r="O216" s="22" t="s"/>
      <c r="P216" s="22" t="s"/>
      <c r="Q216" s="22" t="s"/>
      <c r="R216" s="22" t="s"/>
      <c r="S216" s="22" t="s"/>
      <c r="T216" s="22" t="s"/>
      <c r="U216" s="22" t="s"/>
      <c r="V216" s="22" t="s"/>
      <c r="W216" s="22" t="s"/>
      <c r="X216" s="22" t="s"/>
      <c r="Y216" s="22" t="s"/>
      <c r="Z216" s="22" t="s"/>
    </row>
    <row r="217" spans="1:26" ht="16.8" customHeight="true">
      <c r="A217" s="41" t="s">
        <v>787</v>
      </c>
      <c r="B217" s="30" t="s">
        <v>788</v>
      </c>
      <c r="C217" s="30" t="s">
        <v>236</v>
      </c>
      <c r="D217" s="30" t="s">
        <v>170</v>
      </c>
      <c r="E217" s="31" t="s">
        <v>789</v>
      </c>
      <c r="F217" s="22" t="s"/>
      <c r="G217" s="22" t="s"/>
      <c r="H217" s="22" t="s"/>
      <c r="I217" s="22" t="s"/>
      <c r="J217" s="22" t="s"/>
      <c r="K217" s="22" t="s"/>
      <c r="L217" s="22" t="s"/>
      <c r="M217" s="22" t="s"/>
      <c r="N217" s="22" t="s"/>
      <c r="O217" s="22" t="s"/>
      <c r="P217" s="22" t="s"/>
      <c r="Q217" s="22" t="s"/>
      <c r="R217" s="22" t="s"/>
      <c r="S217" s="22" t="s"/>
      <c r="T217" s="22" t="s"/>
      <c r="U217" s="22" t="s"/>
      <c r="V217" s="22" t="s"/>
      <c r="W217" s="22" t="s"/>
      <c r="X217" s="22" t="s"/>
      <c r="Y217" s="22" t="s"/>
      <c r="Z217" s="22" t="s"/>
    </row>
    <row r="218" spans="1:26" ht="16.8" customHeight="true">
      <c r="A218" s="41" t="s">
        <v>790</v>
      </c>
      <c r="B218" s="30" t="s">
        <v>791</v>
      </c>
      <c r="C218" s="30" t="s">
        <v>165</v>
      </c>
      <c r="D218" s="30" t="s"/>
      <c r="E218" s="31" t="s">
        <v>792</v>
      </c>
      <c r="F218" s="22" t="s"/>
      <c r="G218" s="22" t="s"/>
      <c r="H218" s="22" t="s"/>
      <c r="I218" s="22" t="s"/>
      <c r="J218" s="22" t="s"/>
      <c r="K218" s="22" t="s"/>
      <c r="L218" s="22" t="s"/>
      <c r="M218" s="22" t="s"/>
      <c r="N218" s="22" t="s"/>
      <c r="O218" s="22" t="s"/>
      <c r="P218" s="22" t="s"/>
      <c r="Q218" s="22" t="s"/>
      <c r="R218" s="22" t="s"/>
      <c r="S218" s="22" t="s"/>
      <c r="T218" s="22" t="s"/>
      <c r="U218" s="22" t="s"/>
      <c r="V218" s="22" t="s"/>
      <c r="W218" s="22" t="s"/>
      <c r="X218" s="22" t="s"/>
      <c r="Y218" s="22" t="s"/>
      <c r="Z218" s="22" t="s"/>
    </row>
    <row r="219" spans="1:26" ht="16.8" customHeight="true">
      <c r="A219" s="41" t="s">
        <v>793</v>
      </c>
      <c r="B219" s="30" t="s">
        <v>794</v>
      </c>
      <c r="C219" s="30" t="s">
        <v>165</v>
      </c>
      <c r="D219" s="30" t="s"/>
      <c r="E219" s="31" t="s">
        <v>795</v>
      </c>
      <c r="F219" s="22" t="s"/>
      <c r="G219" s="22" t="s"/>
      <c r="H219" s="22" t="s"/>
      <c r="I219" s="22" t="s"/>
      <c r="J219" s="22" t="s"/>
      <c r="K219" s="22" t="s"/>
      <c r="L219" s="22" t="s"/>
      <c r="M219" s="22" t="s"/>
      <c r="N219" s="22" t="s"/>
      <c r="O219" s="22" t="s"/>
      <c r="P219" s="22" t="s"/>
      <c r="Q219" s="22" t="s"/>
      <c r="R219" s="22" t="s"/>
      <c r="S219" s="22" t="s"/>
      <c r="T219" s="22" t="s"/>
      <c r="U219" s="22" t="s"/>
      <c r="V219" s="22" t="s"/>
      <c r="W219" s="22" t="s"/>
      <c r="X219" s="22" t="s"/>
      <c r="Y219" s="22" t="s"/>
      <c r="Z219" s="22" t="s"/>
    </row>
    <row r="220" spans="1:26" ht="16.8" customHeight="true">
      <c r="A220" s="41" t="s">
        <v>796</v>
      </c>
      <c r="B220" s="30" t="s">
        <v>520</v>
      </c>
      <c r="C220" s="30" t="s">
        <v>797</v>
      </c>
      <c r="D220" s="30" t="s"/>
      <c r="E220" s="31" t="s">
        <v>798</v>
      </c>
      <c r="F220" s="22" t="s"/>
      <c r="G220" s="22" t="s"/>
      <c r="H220" s="22" t="s"/>
      <c r="I220" s="22" t="s"/>
      <c r="J220" s="22" t="s"/>
      <c r="K220" s="22" t="s"/>
      <c r="L220" s="22" t="s"/>
      <c r="M220" s="22" t="s"/>
      <c r="N220" s="22" t="s"/>
      <c r="O220" s="22" t="s"/>
      <c r="P220" s="22" t="s"/>
      <c r="Q220" s="22" t="s"/>
      <c r="R220" s="22" t="s"/>
      <c r="S220" s="22" t="s"/>
      <c r="T220" s="22" t="s"/>
      <c r="U220" s="22" t="s"/>
      <c r="V220" s="22" t="s"/>
      <c r="W220" s="22" t="s"/>
      <c r="X220" s="22" t="s"/>
      <c r="Y220" s="22" t="s"/>
      <c r="Z220" s="22" t="s"/>
    </row>
    <row r="221" spans="1:26" ht="16.8" customHeight="true">
      <c r="A221" s="41" t="s">
        <v>799</v>
      </c>
      <c r="B221" s="30" t="s">
        <v>800</v>
      </c>
      <c r="C221" s="30" t="s">
        <v>165</v>
      </c>
      <c r="D221" s="30" t="s"/>
      <c r="E221" s="31" t="s">
        <v>801</v>
      </c>
      <c r="F221" s="22" t="s"/>
      <c r="G221" s="22" t="s"/>
      <c r="H221" s="22" t="s"/>
      <c r="I221" s="22" t="s"/>
      <c r="J221" s="22" t="s"/>
      <c r="K221" s="22" t="s"/>
      <c r="L221" s="22" t="s"/>
      <c r="M221" s="22" t="s"/>
      <c r="N221" s="22" t="s"/>
      <c r="O221" s="22" t="s"/>
      <c r="P221" s="22" t="s"/>
      <c r="Q221" s="22" t="s"/>
      <c r="R221" s="22" t="s"/>
      <c r="S221" s="22" t="s"/>
      <c r="T221" s="22" t="s"/>
      <c r="U221" s="22" t="s"/>
      <c r="V221" s="22" t="s"/>
      <c r="W221" s="22" t="s"/>
      <c r="X221" s="22" t="s"/>
      <c r="Y221" s="22" t="s"/>
      <c r="Z221" s="22" t="s"/>
    </row>
    <row r="222" spans="1:26" ht="16.8" customHeight="true">
      <c r="A222" s="41" t="s">
        <v>802</v>
      </c>
      <c r="B222" s="30" t="s">
        <v>803</v>
      </c>
      <c r="C222" s="30" t="s">
        <v>165</v>
      </c>
      <c r="D222" s="30" t="s"/>
      <c r="E222" s="31" t="s">
        <v>804</v>
      </c>
      <c r="F222" s="22" t="s"/>
      <c r="G222" s="22" t="s"/>
      <c r="H222" s="22" t="s"/>
      <c r="I222" s="22" t="s"/>
      <c r="J222" s="22" t="s"/>
      <c r="K222" s="22" t="s"/>
      <c r="L222" s="22" t="s"/>
      <c r="M222" s="22" t="s"/>
      <c r="N222" s="22" t="s"/>
      <c r="O222" s="22" t="s"/>
      <c r="P222" s="22" t="s"/>
      <c r="Q222" s="22" t="s"/>
      <c r="R222" s="22" t="s"/>
      <c r="S222" s="22" t="s"/>
      <c r="T222" s="22" t="s"/>
      <c r="U222" s="22" t="s"/>
      <c r="V222" s="22" t="s"/>
      <c r="W222" s="22" t="s"/>
      <c r="X222" s="22" t="s"/>
      <c r="Y222" s="22" t="s"/>
      <c r="Z222" s="22" t="s"/>
    </row>
    <row r="223" spans="1:26" ht="16.8" customHeight="true">
      <c r="A223" s="41" t="s">
        <v>805</v>
      </c>
      <c r="B223" s="30" t="s">
        <v>806</v>
      </c>
      <c r="C223" s="30" t="s">
        <v>165</v>
      </c>
      <c r="D223" s="30" t="s"/>
      <c r="E223" s="31" t="s">
        <v>807</v>
      </c>
      <c r="F223" s="22" t="s"/>
      <c r="G223" s="22" t="s"/>
      <c r="H223" s="22" t="s"/>
      <c r="I223" s="22" t="s"/>
      <c r="J223" s="22" t="s"/>
      <c r="K223" s="22" t="s"/>
      <c r="L223" s="22" t="s"/>
      <c r="M223" s="22" t="s"/>
      <c r="N223" s="22" t="s"/>
      <c r="O223" s="22" t="s"/>
      <c r="P223" s="22" t="s"/>
      <c r="Q223" s="22" t="s"/>
      <c r="R223" s="22" t="s"/>
      <c r="S223" s="22" t="s"/>
      <c r="T223" s="22" t="s"/>
      <c r="U223" s="22" t="s"/>
      <c r="V223" s="22" t="s"/>
      <c r="W223" s="22" t="s"/>
      <c r="X223" s="22" t="s"/>
      <c r="Y223" s="22" t="s"/>
      <c r="Z223" s="22" t="s"/>
    </row>
    <row r="224" spans="1:26" ht="16.8" customHeight="true">
      <c r="A224" s="41" t="s">
        <v>808</v>
      </c>
      <c r="B224" s="30" t="s">
        <v>809</v>
      </c>
      <c r="C224" s="30" t="s">
        <v>165</v>
      </c>
      <c r="D224" s="30" t="s"/>
      <c r="E224" s="31" t="s">
        <v>810</v>
      </c>
      <c r="F224" s="22" t="s"/>
      <c r="G224" s="22" t="s"/>
      <c r="H224" s="22" t="s"/>
      <c r="I224" s="22" t="s"/>
      <c r="J224" s="22" t="s"/>
      <c r="K224" s="22" t="s"/>
      <c r="L224" s="22" t="s"/>
      <c r="M224" s="22" t="s"/>
      <c r="N224" s="22" t="s"/>
      <c r="O224" s="22" t="s"/>
      <c r="P224" s="22" t="s"/>
      <c r="Q224" s="22" t="s"/>
      <c r="R224" s="22" t="s"/>
      <c r="S224" s="22" t="s"/>
      <c r="T224" s="22" t="s"/>
      <c r="U224" s="22" t="s"/>
      <c r="V224" s="22" t="s"/>
      <c r="W224" s="22" t="s"/>
      <c r="X224" s="22" t="s"/>
      <c r="Y224" s="22" t="s"/>
      <c r="Z224" s="22" t="s"/>
    </row>
    <row r="225" spans="1:26" ht="16.8" customHeight="true">
      <c r="A225" s="41" t="s">
        <v>811</v>
      </c>
      <c r="B225" s="30" t="s">
        <v>812</v>
      </c>
      <c r="C225" s="30" t="s">
        <v>165</v>
      </c>
      <c r="D225" s="30" t="s"/>
      <c r="E225" s="31" t="s">
        <v>813</v>
      </c>
      <c r="F225" s="22" t="s"/>
      <c r="G225" s="22" t="s"/>
      <c r="H225" s="22" t="s"/>
      <c r="I225" s="22" t="s"/>
      <c r="J225" s="22" t="s"/>
      <c r="K225" s="22" t="s"/>
      <c r="L225" s="22" t="s"/>
      <c r="M225" s="22" t="s"/>
      <c r="N225" s="22" t="s"/>
      <c r="O225" s="22" t="s"/>
      <c r="P225" s="22" t="s"/>
      <c r="Q225" s="22" t="s"/>
      <c r="R225" s="22" t="s"/>
      <c r="S225" s="22" t="s"/>
      <c r="T225" s="22" t="s"/>
      <c r="U225" s="22" t="s"/>
      <c r="V225" s="22" t="s"/>
      <c r="W225" s="22" t="s"/>
      <c r="X225" s="22" t="s"/>
      <c r="Y225" s="22" t="s"/>
      <c r="Z225" s="22" t="s"/>
    </row>
    <row r="226" spans="1:26" ht="16.8" customHeight="true">
      <c r="A226" s="41" t="s">
        <v>814</v>
      </c>
      <c r="B226" s="30" t="s">
        <v>815</v>
      </c>
      <c r="C226" s="30" t="s">
        <v>165</v>
      </c>
      <c r="D226" s="30" t="s"/>
      <c r="E226" s="31" t="s">
        <v>816</v>
      </c>
      <c r="F226" s="22" t="s"/>
      <c r="G226" s="22" t="s"/>
      <c r="H226" s="22" t="s"/>
      <c r="I226" s="22" t="s"/>
      <c r="J226" s="22" t="s"/>
      <c r="K226" s="22" t="s"/>
      <c r="L226" s="22" t="s"/>
      <c r="M226" s="22" t="s"/>
      <c r="N226" s="22" t="s"/>
      <c r="O226" s="22" t="s"/>
      <c r="P226" s="22" t="s"/>
      <c r="Q226" s="22" t="s"/>
      <c r="R226" s="22" t="s"/>
      <c r="S226" s="22" t="s"/>
      <c r="T226" s="22" t="s"/>
      <c r="U226" s="22" t="s"/>
      <c r="V226" s="22" t="s"/>
      <c r="W226" s="22" t="s"/>
      <c r="X226" s="22" t="s"/>
      <c r="Y226" s="22" t="s"/>
      <c r="Z226" s="22" t="s"/>
    </row>
    <row r="227" spans="1:26" ht="16.8" customHeight="true">
      <c r="A227" s="41" t="s">
        <v>817</v>
      </c>
      <c r="B227" s="30" t="s">
        <v>818</v>
      </c>
      <c r="C227" s="30" t="s">
        <v>819</v>
      </c>
      <c r="D227" s="30" t="s">
        <v>153</v>
      </c>
      <c r="E227" s="31" t="s">
        <v>820</v>
      </c>
      <c r="F227" s="22" t="s"/>
      <c r="G227" s="22" t="s"/>
      <c r="H227" s="22" t="s"/>
      <c r="I227" s="22" t="s"/>
      <c r="J227" s="22" t="s"/>
      <c r="K227" s="22" t="s"/>
      <c r="L227" s="22" t="s"/>
      <c r="M227" s="22" t="s"/>
      <c r="N227" s="22" t="s"/>
      <c r="O227" s="22" t="s"/>
      <c r="P227" s="22" t="s"/>
      <c r="Q227" s="22" t="s"/>
      <c r="R227" s="22" t="s"/>
      <c r="S227" s="22" t="s"/>
      <c r="T227" s="22" t="s"/>
      <c r="U227" s="22" t="s"/>
      <c r="V227" s="22" t="s"/>
      <c r="W227" s="22" t="s"/>
      <c r="X227" s="22" t="s"/>
      <c r="Y227" s="22" t="s"/>
      <c r="Z227" s="22" t="s"/>
    </row>
    <row r="228" spans="1:26" ht="16.8" customHeight="true">
      <c r="A228" s="41" t="s">
        <v>821</v>
      </c>
      <c r="B228" s="30" t="s">
        <v>822</v>
      </c>
      <c r="C228" s="30" t="s">
        <v>236</v>
      </c>
      <c r="D228" s="30" t="s">
        <v>528</v>
      </c>
      <c r="E228" s="31" t="s">
        <v>288</v>
      </c>
      <c r="F228" s="22" t="s"/>
      <c r="G228" s="22" t="s"/>
      <c r="H228" s="22" t="s"/>
      <c r="I228" s="22" t="s"/>
      <c r="J228" s="22" t="s"/>
      <c r="K228" s="22" t="s"/>
      <c r="L228" s="22" t="s"/>
      <c r="M228" s="22" t="s"/>
      <c r="N228" s="22" t="s"/>
      <c r="O228" s="22" t="s"/>
      <c r="P228" s="22" t="s"/>
      <c r="Q228" s="22" t="s"/>
      <c r="R228" s="22" t="s"/>
      <c r="S228" s="22" t="s"/>
      <c r="T228" s="22" t="s"/>
      <c r="U228" s="22" t="s"/>
      <c r="V228" s="22" t="s"/>
      <c r="W228" s="22" t="s"/>
      <c r="X228" s="22" t="s"/>
      <c r="Y228" s="22" t="s"/>
      <c r="Z228" s="22" t="s"/>
    </row>
    <row r="229" spans="1:26" ht="16.8" customHeight="true">
      <c r="A229" s="41" t="s">
        <v>823</v>
      </c>
      <c r="B229" s="30" t="s">
        <v>824</v>
      </c>
      <c r="C229" s="30" t="s">
        <v>263</v>
      </c>
      <c r="D229" s="30" t="s">
        <v>170</v>
      </c>
      <c r="E229" s="31" t="s">
        <v>288</v>
      </c>
      <c r="F229" s="22" t="s"/>
      <c r="G229" s="22" t="s"/>
      <c r="H229" s="22" t="s"/>
      <c r="I229" s="22" t="s"/>
      <c r="J229" s="22" t="s"/>
      <c r="K229" s="22" t="s"/>
      <c r="L229" s="22" t="s"/>
      <c r="M229" s="22" t="s"/>
      <c r="N229" s="22" t="s"/>
      <c r="O229" s="22" t="s"/>
      <c r="P229" s="22" t="s"/>
      <c r="Q229" s="22" t="s"/>
      <c r="R229" s="22" t="s"/>
      <c r="S229" s="22" t="s"/>
      <c r="T229" s="22" t="s"/>
      <c r="U229" s="22" t="s"/>
      <c r="V229" s="22" t="s"/>
      <c r="W229" s="22" t="s"/>
      <c r="X229" s="22" t="s"/>
      <c r="Y229" s="22" t="s"/>
      <c r="Z229" s="22" t="s"/>
    </row>
    <row r="230" spans="1:26" ht="16.8" customHeight="true">
      <c r="A230" s="41" t="s">
        <v>825</v>
      </c>
      <c r="B230" s="30" t="s">
        <v>826</v>
      </c>
      <c r="C230" s="30" t="s">
        <v>236</v>
      </c>
      <c r="D230" s="30" t="s">
        <v>170</v>
      </c>
      <c r="E230" s="31" t="s">
        <v>827</v>
      </c>
      <c r="F230" s="22" t="s"/>
      <c r="G230" s="22" t="s"/>
      <c r="H230" s="22" t="s"/>
      <c r="I230" s="22" t="s"/>
      <c r="J230" s="22" t="s"/>
      <c r="K230" s="22" t="s"/>
      <c r="L230" s="22" t="s"/>
      <c r="M230" s="22" t="s"/>
      <c r="N230" s="22" t="s"/>
      <c r="O230" s="22" t="s"/>
      <c r="P230" s="22" t="s"/>
      <c r="Q230" s="22" t="s"/>
      <c r="R230" s="22" t="s"/>
      <c r="S230" s="22" t="s"/>
      <c r="T230" s="22" t="s"/>
      <c r="U230" s="22" t="s"/>
      <c r="V230" s="22" t="s"/>
      <c r="W230" s="22" t="s"/>
      <c r="X230" s="22" t="s"/>
      <c r="Y230" s="22" t="s"/>
      <c r="Z230" s="22" t="s"/>
    </row>
    <row r="231" spans="1:26" ht="16.8" customHeight="true">
      <c r="A231" s="41" t="s">
        <v>828</v>
      </c>
      <c r="B231" s="30" t="s">
        <v>829</v>
      </c>
      <c r="C231" s="30" t="s">
        <v>263</v>
      </c>
      <c r="D231" s="30" t="s">
        <v>830</v>
      </c>
      <c r="E231" s="31" t="s">
        <v>288</v>
      </c>
      <c r="F231" s="22" t="s"/>
      <c r="G231" s="22" t="s"/>
      <c r="H231" s="22" t="s"/>
      <c r="I231" s="22" t="s"/>
      <c r="J231" s="22" t="s"/>
      <c r="K231" s="22" t="s"/>
      <c r="L231" s="22" t="s"/>
      <c r="M231" s="22" t="s"/>
      <c r="N231" s="22" t="s"/>
      <c r="O231" s="22" t="s"/>
      <c r="P231" s="22" t="s"/>
      <c r="Q231" s="22" t="s"/>
      <c r="R231" s="22" t="s"/>
      <c r="S231" s="22" t="s"/>
      <c r="T231" s="22" t="s"/>
      <c r="U231" s="22" t="s"/>
      <c r="V231" s="22" t="s"/>
      <c r="W231" s="22" t="s"/>
      <c r="X231" s="22" t="s"/>
      <c r="Y231" s="22" t="s"/>
      <c r="Z231" s="22" t="s"/>
    </row>
    <row r="232" spans="1:26" ht="16.8" customHeight="true">
      <c r="A232" s="41" t="s">
        <v>831</v>
      </c>
      <c r="B232" s="30" t="s">
        <v>832</v>
      </c>
      <c r="C232" s="30" t="s">
        <v>165</v>
      </c>
      <c r="D232" s="30" t="s"/>
      <c r="E232" s="31" t="s">
        <v>833</v>
      </c>
      <c r="F232" s="22" t="s"/>
      <c r="G232" s="22" t="s"/>
      <c r="H232" s="22" t="s"/>
      <c r="I232" s="22" t="s"/>
      <c r="J232" s="22" t="s"/>
      <c r="K232" s="22" t="s"/>
      <c r="L232" s="22" t="s"/>
      <c r="M232" s="22" t="s"/>
      <c r="N232" s="22" t="s"/>
      <c r="O232" s="22" t="s"/>
      <c r="P232" s="22" t="s"/>
      <c r="Q232" s="22" t="s"/>
      <c r="R232" s="22" t="s"/>
      <c r="S232" s="22" t="s"/>
      <c r="T232" s="22" t="s"/>
      <c r="U232" s="22" t="s"/>
      <c r="V232" s="22" t="s"/>
      <c r="W232" s="22" t="s"/>
      <c r="X232" s="22" t="s"/>
      <c r="Y232" s="22" t="s"/>
      <c r="Z232" s="22" t="s"/>
    </row>
    <row r="233" spans="1:26" ht="16.8" customHeight="true">
      <c r="A233" s="41" t="s">
        <v>834</v>
      </c>
      <c r="B233" s="30" t="s">
        <v>835</v>
      </c>
      <c r="C233" s="30" t="s">
        <v>165</v>
      </c>
      <c r="D233" s="30" t="s"/>
      <c r="E233" s="31" t="s">
        <v>836</v>
      </c>
      <c r="F233" s="22" t="s"/>
      <c r="G233" s="22" t="s"/>
      <c r="H233" s="22" t="s"/>
      <c r="I233" s="22" t="s"/>
      <c r="J233" s="22" t="s"/>
      <c r="K233" s="22" t="s"/>
      <c r="L233" s="22" t="s"/>
      <c r="M233" s="22" t="s"/>
      <c r="N233" s="22" t="s"/>
      <c r="O233" s="22" t="s"/>
      <c r="P233" s="22" t="s"/>
      <c r="Q233" s="22" t="s"/>
      <c r="R233" s="22" t="s"/>
      <c r="S233" s="22" t="s"/>
      <c r="T233" s="22" t="s"/>
      <c r="U233" s="22" t="s"/>
      <c r="V233" s="22" t="s"/>
      <c r="W233" s="22" t="s"/>
      <c r="X233" s="22" t="s"/>
      <c r="Y233" s="22" t="s"/>
      <c r="Z233" s="22" t="s"/>
    </row>
    <row r="234" spans="1:26" ht="16.8" customHeight="true">
      <c r="A234" s="41" t="s">
        <v>837</v>
      </c>
      <c r="B234" s="30" t="s">
        <v>838</v>
      </c>
      <c r="C234" s="30" t="s">
        <v>165</v>
      </c>
      <c r="D234" s="30" t="s"/>
      <c r="E234" s="31" t="s">
        <v>839</v>
      </c>
      <c r="F234" s="22" t="s"/>
      <c r="G234" s="22" t="s"/>
      <c r="H234" s="22" t="s"/>
      <c r="I234" s="22" t="s"/>
      <c r="J234" s="22" t="s"/>
      <c r="K234" s="22" t="s"/>
      <c r="L234" s="22" t="s"/>
      <c r="M234" s="22" t="s"/>
      <c r="N234" s="22" t="s"/>
      <c r="O234" s="22" t="s"/>
      <c r="P234" s="22" t="s"/>
      <c r="Q234" s="22" t="s"/>
      <c r="R234" s="22" t="s"/>
      <c r="S234" s="22" t="s"/>
      <c r="T234" s="22" t="s"/>
      <c r="U234" s="22" t="s"/>
      <c r="V234" s="22" t="s"/>
      <c r="W234" s="22" t="s"/>
      <c r="X234" s="22" t="s"/>
      <c r="Y234" s="22" t="s"/>
      <c r="Z234" s="22" t="s"/>
    </row>
    <row r="235" spans="1:26" ht="16.8" customHeight="true">
      <c r="A235" s="41" t="s">
        <v>840</v>
      </c>
      <c r="B235" s="30" t="s">
        <v>841</v>
      </c>
      <c r="C235" s="30" t="s">
        <v>165</v>
      </c>
      <c r="D235" s="30" t="s"/>
      <c r="E235" s="31" t="s">
        <v>842</v>
      </c>
      <c r="F235" s="22" t="s"/>
      <c r="G235" s="22" t="s"/>
      <c r="H235" s="22" t="s"/>
      <c r="I235" s="22" t="s"/>
      <c r="J235" s="22" t="s"/>
      <c r="K235" s="22" t="s"/>
      <c r="L235" s="22" t="s"/>
      <c r="M235" s="22" t="s"/>
      <c r="N235" s="22" t="s"/>
      <c r="O235" s="22" t="s"/>
      <c r="P235" s="22" t="s"/>
      <c r="Q235" s="22" t="s"/>
      <c r="R235" s="22" t="s"/>
      <c r="S235" s="22" t="s"/>
      <c r="T235" s="22" t="s"/>
      <c r="U235" s="22" t="s"/>
      <c r="V235" s="22" t="s"/>
      <c r="W235" s="22" t="s"/>
      <c r="X235" s="22" t="s"/>
      <c r="Y235" s="22" t="s"/>
      <c r="Z235" s="22" t="s"/>
    </row>
    <row r="236" spans="1:26" ht="16.8" customHeight="true">
      <c r="A236" s="41" t="s">
        <v>843</v>
      </c>
      <c r="B236" s="30" t="s">
        <v>844</v>
      </c>
      <c r="C236" s="30" t="s">
        <v>165</v>
      </c>
      <c r="D236" s="30" t="s"/>
      <c r="E236" s="31" t="s">
        <v>680</v>
      </c>
      <c r="F236" s="22" t="s"/>
      <c r="G236" s="22" t="s"/>
      <c r="H236" s="22" t="s"/>
      <c r="I236" s="22" t="s"/>
      <c r="J236" s="22" t="s"/>
      <c r="K236" s="22" t="s"/>
      <c r="L236" s="22" t="s"/>
      <c r="M236" s="22" t="s"/>
      <c r="N236" s="22" t="s"/>
      <c r="O236" s="22" t="s"/>
      <c r="P236" s="22" t="s"/>
      <c r="Q236" s="22" t="s"/>
      <c r="R236" s="22" t="s"/>
      <c r="S236" s="22" t="s"/>
      <c r="T236" s="22" t="s"/>
      <c r="U236" s="22" t="s"/>
      <c r="V236" s="22" t="s"/>
      <c r="W236" s="22" t="s"/>
      <c r="X236" s="22" t="s"/>
      <c r="Y236" s="22" t="s"/>
      <c r="Z236" s="22" t="s"/>
    </row>
    <row r="237" spans="1:26" ht="16.8" customHeight="true">
      <c r="A237" s="41" t="s">
        <v>209</v>
      </c>
      <c r="B237" s="30" t="s">
        <v>210</v>
      </c>
      <c r="C237" s="30" t="s">
        <v>165</v>
      </c>
      <c r="D237" s="30" t="s"/>
      <c r="E237" s="31" t="s">
        <v>845</v>
      </c>
      <c r="F237" s="22" t="s"/>
      <c r="G237" s="22" t="s"/>
      <c r="H237" s="22" t="s"/>
      <c r="I237" s="22" t="s"/>
      <c r="J237" s="22" t="s"/>
      <c r="K237" s="22" t="s"/>
      <c r="L237" s="22" t="s"/>
      <c r="M237" s="22" t="s"/>
      <c r="N237" s="22" t="s"/>
      <c r="O237" s="22" t="s"/>
      <c r="P237" s="22" t="s"/>
      <c r="Q237" s="22" t="s"/>
      <c r="R237" s="22" t="s"/>
      <c r="S237" s="22" t="s"/>
      <c r="T237" s="22" t="s"/>
      <c r="U237" s="22" t="s"/>
      <c r="V237" s="22" t="s"/>
      <c r="W237" s="22" t="s"/>
      <c r="X237" s="22" t="s"/>
      <c r="Y237" s="22" t="s"/>
      <c r="Z237" s="22" t="s"/>
    </row>
    <row r="238" spans="1:26" ht="16.8" customHeight="true">
      <c r="A238" s="41" t="s">
        <v>846</v>
      </c>
      <c r="B238" s="30" t="s">
        <v>847</v>
      </c>
      <c r="C238" s="30" t="s">
        <v>165</v>
      </c>
      <c r="D238" s="30" t="s"/>
      <c r="E238" s="31" t="s">
        <v>848</v>
      </c>
      <c r="F238" s="22" t="s"/>
      <c r="G238" s="22" t="s"/>
      <c r="H238" s="22" t="s"/>
      <c r="I238" s="22" t="s"/>
      <c r="J238" s="22" t="s"/>
      <c r="K238" s="22" t="s"/>
      <c r="L238" s="22" t="s"/>
      <c r="M238" s="22" t="s"/>
      <c r="N238" s="22" t="s"/>
      <c r="O238" s="22" t="s"/>
      <c r="P238" s="22" t="s"/>
      <c r="Q238" s="22" t="s"/>
      <c r="R238" s="22" t="s"/>
      <c r="S238" s="22" t="s"/>
      <c r="T238" s="22" t="s"/>
      <c r="U238" s="22" t="s"/>
      <c r="V238" s="22" t="s"/>
      <c r="W238" s="22" t="s"/>
      <c r="X238" s="22" t="s"/>
      <c r="Y238" s="22" t="s"/>
      <c r="Z238" s="22" t="s"/>
    </row>
    <row r="239" spans="1:26" ht="16.8" customHeight="true">
      <c r="A239" s="41" t="s">
        <v>849</v>
      </c>
      <c r="B239" s="30" t="s">
        <v>850</v>
      </c>
      <c r="C239" s="30" t="s">
        <v>382</v>
      </c>
      <c r="D239" s="30" t="s"/>
      <c r="E239" s="31" t="s">
        <v>652</v>
      </c>
      <c r="F239" s="22" t="s"/>
      <c r="G239" s="22" t="s"/>
      <c r="H239" s="22" t="s"/>
      <c r="I239" s="22" t="s"/>
      <c r="J239" s="22" t="s"/>
      <c r="K239" s="22" t="s"/>
      <c r="L239" s="22" t="s"/>
      <c r="M239" s="22" t="s"/>
      <c r="N239" s="22" t="s"/>
      <c r="O239" s="22" t="s"/>
      <c r="P239" s="22" t="s"/>
      <c r="Q239" s="22" t="s"/>
      <c r="R239" s="22" t="s"/>
      <c r="S239" s="22" t="s"/>
      <c r="T239" s="22" t="s"/>
      <c r="U239" s="22" t="s"/>
      <c r="V239" s="22" t="s"/>
      <c r="W239" s="22" t="s"/>
      <c r="X239" s="22" t="s"/>
      <c r="Y239" s="22" t="s"/>
      <c r="Z239" s="22" t="s"/>
    </row>
    <row r="240" spans="1:26" ht="16.8" customHeight="true">
      <c r="A240" s="41" t="s">
        <v>851</v>
      </c>
      <c r="B240" s="30" t="s">
        <v>852</v>
      </c>
      <c r="C240" s="30" t="s">
        <v>165</v>
      </c>
      <c r="D240" s="30" t="s"/>
      <c r="E240" s="31" t="s">
        <v>853</v>
      </c>
      <c r="F240" s="22" t="s"/>
      <c r="G240" s="22" t="s"/>
      <c r="H240" s="22" t="s"/>
      <c r="I240" s="22" t="s"/>
      <c r="J240" s="22" t="s"/>
      <c r="K240" s="22" t="s"/>
      <c r="L240" s="22" t="s"/>
      <c r="M240" s="22" t="s"/>
      <c r="N240" s="22" t="s"/>
      <c r="O240" s="22" t="s"/>
      <c r="P240" s="22" t="s"/>
      <c r="Q240" s="22" t="s"/>
      <c r="R240" s="22" t="s"/>
      <c r="S240" s="22" t="s"/>
      <c r="T240" s="22" t="s"/>
      <c r="U240" s="22" t="s"/>
      <c r="V240" s="22" t="s"/>
      <c r="W240" s="22" t="s"/>
      <c r="X240" s="22" t="s"/>
      <c r="Y240" s="22" t="s"/>
      <c r="Z240" s="22" t="s"/>
    </row>
    <row r="241" spans="1:26" ht="16.8" customHeight="true">
      <c r="A241" s="41" t="s">
        <v>854</v>
      </c>
      <c r="B241" s="30" t="s">
        <v>855</v>
      </c>
      <c r="C241" s="30" t="s">
        <v>165</v>
      </c>
      <c r="D241" s="30" t="s"/>
      <c r="E241" s="31" t="s">
        <v>282</v>
      </c>
      <c r="F241" s="22" t="s"/>
      <c r="G241" s="22" t="s"/>
      <c r="H241" s="22" t="s"/>
      <c r="I241" s="22" t="s"/>
      <c r="J241" s="22" t="s"/>
      <c r="K241" s="22" t="s"/>
      <c r="L241" s="22" t="s"/>
      <c r="M241" s="22" t="s"/>
      <c r="N241" s="22" t="s"/>
      <c r="O241" s="22" t="s"/>
      <c r="P241" s="22" t="s"/>
      <c r="Q241" s="22" t="s"/>
      <c r="R241" s="22" t="s"/>
      <c r="S241" s="22" t="s"/>
      <c r="T241" s="22" t="s"/>
      <c r="U241" s="22" t="s"/>
      <c r="V241" s="22" t="s"/>
      <c r="W241" s="22" t="s"/>
      <c r="X241" s="22" t="s"/>
      <c r="Y241" s="22" t="s"/>
      <c r="Z241" s="22" t="s"/>
    </row>
    <row r="242" spans="1:26" ht="16.8" customHeight="true">
      <c r="A242" s="41" t="s">
        <v>856</v>
      </c>
      <c r="B242" s="30" t="s">
        <v>857</v>
      </c>
      <c r="C242" s="30" t="s">
        <v>165</v>
      </c>
      <c r="D242" s="30" t="s"/>
      <c r="E242" s="31" t="s">
        <v>858</v>
      </c>
      <c r="F242" s="22" t="s"/>
      <c r="G242" s="22" t="s"/>
      <c r="H242" s="22" t="s"/>
      <c r="I242" s="22" t="s"/>
      <c r="J242" s="22" t="s"/>
      <c r="K242" s="22" t="s"/>
      <c r="L242" s="22" t="s"/>
      <c r="M242" s="22" t="s"/>
      <c r="N242" s="22" t="s"/>
      <c r="O242" s="22" t="s"/>
      <c r="P242" s="22" t="s"/>
      <c r="Q242" s="22" t="s"/>
      <c r="R242" s="22" t="s"/>
      <c r="S242" s="22" t="s"/>
      <c r="T242" s="22" t="s"/>
      <c r="U242" s="22" t="s"/>
      <c r="V242" s="22" t="s"/>
      <c r="W242" s="22" t="s"/>
      <c r="X242" s="22" t="s"/>
      <c r="Y242" s="22" t="s"/>
      <c r="Z242" s="22" t="s"/>
    </row>
    <row r="243" spans="1:26" ht="16.8" customHeight="true">
      <c r="A243" s="41" t="s">
        <v>859</v>
      </c>
      <c r="B243" s="30" t="s">
        <v>860</v>
      </c>
      <c r="C243" s="30" t="s">
        <v>165</v>
      </c>
      <c r="D243" s="30" t="s"/>
      <c r="E243" s="31" t="s">
        <v>861</v>
      </c>
      <c r="F243" s="22" t="s"/>
      <c r="G243" s="22" t="s"/>
      <c r="H243" s="22" t="s"/>
      <c r="I243" s="22" t="s"/>
      <c r="J243" s="22" t="s"/>
      <c r="K243" s="22" t="s"/>
      <c r="L243" s="22" t="s"/>
      <c r="M243" s="22" t="s"/>
      <c r="N243" s="22" t="s"/>
      <c r="O243" s="22" t="s"/>
      <c r="P243" s="22" t="s"/>
      <c r="Q243" s="22" t="s"/>
      <c r="R243" s="22" t="s"/>
      <c r="S243" s="22" t="s"/>
      <c r="T243" s="22" t="s"/>
      <c r="U243" s="22" t="s"/>
      <c r="V243" s="22" t="s"/>
      <c r="W243" s="22" t="s"/>
      <c r="X243" s="22" t="s"/>
      <c r="Y243" s="22" t="s"/>
      <c r="Z243" s="22" t="s"/>
    </row>
    <row r="244" spans="1:26" ht="16.8" customHeight="true">
      <c r="A244" s="41" t="s">
        <v>862</v>
      </c>
      <c r="B244" s="30" t="s">
        <v>863</v>
      </c>
      <c r="C244" s="30" t="s">
        <v>165</v>
      </c>
      <c r="D244" s="30" t="s"/>
      <c r="E244" s="31" t="s">
        <v>864</v>
      </c>
      <c r="F244" s="22" t="s"/>
      <c r="G244" s="22" t="s"/>
      <c r="H244" s="22" t="s"/>
      <c r="I244" s="22" t="s"/>
      <c r="J244" s="22" t="s"/>
      <c r="K244" s="22" t="s"/>
      <c r="L244" s="22" t="s"/>
      <c r="M244" s="22" t="s"/>
      <c r="N244" s="22" t="s"/>
      <c r="O244" s="22" t="s"/>
      <c r="P244" s="22" t="s"/>
      <c r="Q244" s="22" t="s"/>
      <c r="R244" s="22" t="s"/>
      <c r="S244" s="22" t="s"/>
      <c r="T244" s="22" t="s"/>
      <c r="U244" s="22" t="s"/>
      <c r="V244" s="22" t="s"/>
      <c r="W244" s="22" t="s"/>
      <c r="X244" s="22" t="s"/>
      <c r="Y244" s="22" t="s"/>
      <c r="Z244" s="22" t="s"/>
    </row>
    <row r="245" spans="1:26" ht="16.8" customHeight="true">
      <c r="A245" s="41" t="s">
        <v>865</v>
      </c>
      <c r="B245" s="30" t="s">
        <v>866</v>
      </c>
      <c r="C245" s="30" t="s">
        <v>165</v>
      </c>
      <c r="D245" s="30" t="s"/>
      <c r="E245" s="31" t="s">
        <v>166</v>
      </c>
      <c r="F245" s="22" t="s"/>
      <c r="G245" s="22" t="s"/>
      <c r="H245" s="22" t="s"/>
      <c r="I245" s="22" t="s"/>
      <c r="J245" s="22" t="s"/>
      <c r="K245" s="22" t="s"/>
      <c r="L245" s="22" t="s"/>
      <c r="M245" s="22" t="s"/>
      <c r="N245" s="22" t="s"/>
      <c r="O245" s="22" t="s"/>
      <c r="P245" s="22" t="s"/>
      <c r="Q245" s="22" t="s"/>
      <c r="R245" s="22" t="s"/>
      <c r="S245" s="22" t="s"/>
      <c r="T245" s="22" t="s"/>
      <c r="U245" s="22" t="s"/>
      <c r="V245" s="22" t="s"/>
      <c r="W245" s="22" t="s"/>
      <c r="X245" s="22" t="s"/>
      <c r="Y245" s="22" t="s"/>
      <c r="Z245" s="22" t="s"/>
    </row>
    <row r="246" spans="1:26" ht="16.8" customHeight="true">
      <c r="A246" s="41" t="s">
        <v>867</v>
      </c>
      <c r="B246" s="30" t="s">
        <v>868</v>
      </c>
      <c r="C246" s="30" t="s">
        <v>165</v>
      </c>
      <c r="D246" s="30" t="s"/>
      <c r="E246" s="31" t="s">
        <v>869</v>
      </c>
      <c r="F246" s="22" t="s"/>
      <c r="G246" s="22" t="s"/>
      <c r="H246" s="22" t="s"/>
      <c r="I246" s="22" t="s"/>
      <c r="J246" s="22" t="s"/>
      <c r="K246" s="22" t="s"/>
      <c r="L246" s="22" t="s"/>
      <c r="M246" s="22" t="s"/>
      <c r="N246" s="22" t="s"/>
      <c r="O246" s="22" t="s"/>
      <c r="P246" s="22" t="s"/>
      <c r="Q246" s="22" t="s"/>
      <c r="R246" s="22" t="s"/>
      <c r="S246" s="22" t="s"/>
      <c r="T246" s="22" t="s"/>
      <c r="U246" s="22" t="s"/>
      <c r="V246" s="22" t="s"/>
      <c r="W246" s="22" t="s"/>
      <c r="X246" s="22" t="s"/>
      <c r="Y246" s="22" t="s"/>
      <c r="Z246" s="22" t="s"/>
    </row>
    <row r="247" spans="1:26" ht="16.8" customHeight="true">
      <c r="A247" s="41" t="s">
        <v>870</v>
      </c>
      <c r="B247" s="30" t="s">
        <v>871</v>
      </c>
      <c r="C247" s="30" t="s">
        <v>165</v>
      </c>
      <c r="D247" s="30" t="s"/>
      <c r="E247" s="31" t="s">
        <v>872</v>
      </c>
      <c r="F247" s="22" t="s"/>
      <c r="G247" s="22" t="s"/>
      <c r="H247" s="22" t="s"/>
      <c r="I247" s="22" t="s"/>
      <c r="J247" s="22" t="s"/>
      <c r="K247" s="22" t="s"/>
      <c r="L247" s="22" t="s"/>
      <c r="M247" s="22" t="s"/>
      <c r="N247" s="22" t="s"/>
      <c r="O247" s="22" t="s"/>
      <c r="P247" s="22" t="s"/>
      <c r="Q247" s="22" t="s"/>
      <c r="R247" s="22" t="s"/>
      <c r="S247" s="22" t="s"/>
      <c r="T247" s="22" t="s"/>
      <c r="U247" s="22" t="s"/>
      <c r="V247" s="22" t="s"/>
      <c r="W247" s="22" t="s"/>
      <c r="X247" s="22" t="s"/>
      <c r="Y247" s="22" t="s"/>
      <c r="Z247" s="22" t="s"/>
    </row>
    <row r="248" spans="1:26" ht="16.8" customHeight="true">
      <c r="A248" s="41" t="s">
        <v>387</v>
      </c>
      <c r="B248" s="30" t="s">
        <v>388</v>
      </c>
      <c r="C248" s="30" t="s">
        <v>165</v>
      </c>
      <c r="D248" s="30" t="s"/>
      <c r="E248" s="31" t="s">
        <v>873</v>
      </c>
      <c r="F248" s="22" t="s"/>
      <c r="G248" s="22" t="s"/>
      <c r="H248" s="22" t="s"/>
      <c r="I248" s="22" t="s"/>
      <c r="J248" s="22" t="s"/>
      <c r="K248" s="22" t="s"/>
      <c r="L248" s="22" t="s"/>
      <c r="M248" s="22" t="s"/>
      <c r="N248" s="22" t="s"/>
      <c r="O248" s="22" t="s"/>
      <c r="P248" s="22" t="s"/>
      <c r="Q248" s="22" t="s"/>
      <c r="R248" s="22" t="s"/>
      <c r="S248" s="22" t="s"/>
      <c r="T248" s="22" t="s"/>
      <c r="U248" s="22" t="s"/>
      <c r="V248" s="22" t="s"/>
      <c r="W248" s="22" t="s"/>
      <c r="X248" s="22" t="s"/>
      <c r="Y248" s="22" t="s"/>
      <c r="Z248" s="22" t="s"/>
    </row>
    <row r="249" spans="1:26" ht="16.8" customHeight="true">
      <c r="A249" s="41" t="s">
        <v>874</v>
      </c>
      <c r="B249" s="30" t="s">
        <v>875</v>
      </c>
      <c r="C249" s="30" t="s">
        <v>351</v>
      </c>
      <c r="D249" s="30" t="s">
        <v>876</v>
      </c>
      <c r="E249" s="31" t="s">
        <v>877</v>
      </c>
      <c r="F249" s="22" t="s"/>
      <c r="G249" s="22" t="s"/>
      <c r="H249" s="22" t="s"/>
      <c r="I249" s="22" t="s"/>
      <c r="J249" s="22" t="s"/>
      <c r="K249" s="22" t="s"/>
      <c r="L249" s="22" t="s"/>
      <c r="M249" s="22" t="s"/>
      <c r="N249" s="22" t="s"/>
      <c r="O249" s="22" t="s"/>
      <c r="P249" s="22" t="s"/>
      <c r="Q249" s="22" t="s"/>
      <c r="R249" s="22" t="s"/>
      <c r="S249" s="22" t="s"/>
      <c r="T249" s="22" t="s"/>
      <c r="U249" s="22" t="s"/>
      <c r="V249" s="22" t="s"/>
      <c r="W249" s="22" t="s"/>
      <c r="X249" s="22" t="s"/>
      <c r="Y249" s="22" t="s"/>
      <c r="Z249" s="22" t="s"/>
    </row>
    <row r="250" spans="1:26" ht="16.8" customHeight="true">
      <c r="A250" s="41" t="s">
        <v>878</v>
      </c>
      <c r="B250" s="30" t="s">
        <v>879</v>
      </c>
      <c r="C250" s="30" t="s">
        <v>880</v>
      </c>
      <c r="D250" s="30" t="s">
        <v>153</v>
      </c>
      <c r="E250" s="31" t="s">
        <v>881</v>
      </c>
      <c r="F250" s="22" t="s"/>
      <c r="G250" s="22" t="s"/>
      <c r="H250" s="22" t="s"/>
      <c r="I250" s="22" t="s"/>
      <c r="J250" s="22" t="s"/>
      <c r="K250" s="22" t="s"/>
      <c r="L250" s="22" t="s"/>
      <c r="M250" s="22" t="s"/>
      <c r="N250" s="22" t="s"/>
      <c r="O250" s="22" t="s"/>
      <c r="P250" s="22" t="s"/>
      <c r="Q250" s="22" t="s"/>
      <c r="R250" s="22" t="s"/>
      <c r="S250" s="22" t="s"/>
      <c r="T250" s="22" t="s"/>
      <c r="U250" s="22" t="s"/>
      <c r="V250" s="22" t="s"/>
      <c r="W250" s="22" t="s"/>
      <c r="X250" s="22" t="s"/>
      <c r="Y250" s="22" t="s"/>
      <c r="Z250" s="22" t="s"/>
    </row>
    <row r="251" spans="1:26" ht="16.8" customHeight="true">
      <c r="A251" s="41" t="s">
        <v>882</v>
      </c>
      <c r="B251" s="30" t="s">
        <v>883</v>
      </c>
      <c r="C251" s="30" t="s">
        <v>165</v>
      </c>
      <c r="D251" s="30" t="s"/>
      <c r="E251" s="31" t="s">
        <v>884</v>
      </c>
      <c r="F251" s="22" t="s"/>
      <c r="G251" s="22" t="s"/>
      <c r="H251" s="22" t="s"/>
      <c r="I251" s="22" t="s"/>
      <c r="J251" s="22" t="s"/>
      <c r="K251" s="22" t="s"/>
      <c r="L251" s="22" t="s"/>
      <c r="M251" s="22" t="s"/>
      <c r="N251" s="22" t="s"/>
      <c r="O251" s="22" t="s"/>
      <c r="P251" s="22" t="s"/>
      <c r="Q251" s="22" t="s"/>
      <c r="R251" s="22" t="s"/>
      <c r="S251" s="22" t="s"/>
      <c r="T251" s="22" t="s"/>
      <c r="U251" s="22" t="s"/>
      <c r="V251" s="22" t="s"/>
      <c r="W251" s="22" t="s"/>
      <c r="X251" s="22" t="s"/>
      <c r="Y251" s="22" t="s"/>
      <c r="Z251" s="22" t="s"/>
    </row>
    <row r="252" spans="1:26" ht="16.8" customHeight="true">
      <c r="A252" s="41" t="s">
        <v>885</v>
      </c>
      <c r="B252" s="30" t="s">
        <v>886</v>
      </c>
      <c r="C252" s="30" t="s">
        <v>165</v>
      </c>
      <c r="D252" s="30" t="s"/>
      <c r="E252" s="31" t="s">
        <v>691</v>
      </c>
      <c r="F252" s="22" t="s"/>
      <c r="G252" s="22" t="s"/>
      <c r="H252" s="22" t="s"/>
      <c r="I252" s="22" t="s"/>
      <c r="J252" s="22" t="s"/>
      <c r="K252" s="22" t="s"/>
      <c r="L252" s="22" t="s"/>
      <c r="M252" s="22" t="s"/>
      <c r="N252" s="22" t="s"/>
      <c r="O252" s="22" t="s"/>
      <c r="P252" s="22" t="s"/>
      <c r="Q252" s="22" t="s"/>
      <c r="R252" s="22" t="s"/>
      <c r="S252" s="22" t="s"/>
      <c r="T252" s="22" t="s"/>
      <c r="U252" s="22" t="s"/>
      <c r="V252" s="22" t="s"/>
      <c r="W252" s="22" t="s"/>
      <c r="X252" s="22" t="s"/>
      <c r="Y252" s="22" t="s"/>
      <c r="Z252" s="22" t="s"/>
    </row>
    <row r="253" spans="1:26" ht="16.8" customHeight="true">
      <c r="A253" s="41" t="s">
        <v>887</v>
      </c>
      <c r="B253" s="30" t="s">
        <v>888</v>
      </c>
      <c r="C253" s="30" t="s">
        <v>165</v>
      </c>
      <c r="D253" s="30" t="s"/>
      <c r="E253" s="31" t="s">
        <v>889</v>
      </c>
      <c r="F253" s="22" t="s"/>
      <c r="G253" s="22" t="s"/>
      <c r="H253" s="22" t="s"/>
      <c r="I253" s="22" t="s"/>
      <c r="J253" s="22" t="s"/>
      <c r="K253" s="22" t="s"/>
      <c r="L253" s="22" t="s"/>
      <c r="M253" s="22" t="s"/>
      <c r="N253" s="22" t="s"/>
      <c r="O253" s="22" t="s"/>
      <c r="P253" s="22" t="s"/>
      <c r="Q253" s="22" t="s"/>
      <c r="R253" s="22" t="s"/>
      <c r="S253" s="22" t="s"/>
      <c r="T253" s="22" t="s"/>
      <c r="U253" s="22" t="s"/>
      <c r="V253" s="22" t="s"/>
      <c r="W253" s="22" t="s"/>
      <c r="X253" s="22" t="s"/>
      <c r="Y253" s="22" t="s"/>
      <c r="Z253" s="22" t="s"/>
    </row>
    <row r="254" spans="1:26" ht="16.8" customHeight="true">
      <c r="A254" s="41" t="s">
        <v>890</v>
      </c>
      <c r="B254" s="30" t="s">
        <v>891</v>
      </c>
      <c r="C254" s="30" t="s">
        <v>263</v>
      </c>
      <c r="D254" s="30" t="s">
        <v>232</v>
      </c>
      <c r="E254" s="31" t="s">
        <v>892</v>
      </c>
      <c r="F254" s="22" t="s"/>
      <c r="G254" s="22" t="s"/>
      <c r="H254" s="22" t="s"/>
      <c r="I254" s="22" t="s"/>
      <c r="J254" s="22" t="s"/>
      <c r="K254" s="22" t="s"/>
      <c r="L254" s="22" t="s"/>
      <c r="M254" s="22" t="s"/>
      <c r="N254" s="22" t="s"/>
      <c r="O254" s="22" t="s"/>
      <c r="P254" s="22" t="s"/>
      <c r="Q254" s="22" t="s"/>
      <c r="R254" s="22" t="s"/>
      <c r="S254" s="22" t="s"/>
      <c r="T254" s="22" t="s"/>
      <c r="U254" s="22" t="s"/>
      <c r="V254" s="22" t="s"/>
      <c r="W254" s="22" t="s"/>
      <c r="X254" s="22" t="s"/>
      <c r="Y254" s="22" t="s"/>
      <c r="Z254" s="22" t="s"/>
    </row>
    <row r="255" spans="1:26" ht="16.8" customHeight="true">
      <c r="A255" s="41" t="s">
        <v>893</v>
      </c>
      <c r="B255" s="30" t="s">
        <v>894</v>
      </c>
      <c r="C255" s="30" t="s">
        <v>165</v>
      </c>
      <c r="D255" s="30" t="s"/>
      <c r="E255" s="31" t="s">
        <v>895</v>
      </c>
      <c r="F255" s="22" t="s"/>
      <c r="G255" s="22" t="s"/>
      <c r="H255" s="22" t="s"/>
      <c r="I255" s="22" t="s"/>
      <c r="J255" s="22" t="s"/>
      <c r="K255" s="22" t="s"/>
      <c r="L255" s="22" t="s"/>
      <c r="M255" s="22" t="s"/>
      <c r="N255" s="22" t="s"/>
      <c r="O255" s="22" t="s"/>
      <c r="P255" s="22" t="s"/>
      <c r="Q255" s="22" t="s"/>
      <c r="R255" s="22" t="s"/>
      <c r="S255" s="22" t="s"/>
      <c r="T255" s="22" t="s"/>
      <c r="U255" s="22" t="s"/>
      <c r="V255" s="22" t="s"/>
      <c r="W255" s="22" t="s"/>
      <c r="X255" s="22" t="s"/>
      <c r="Y255" s="22" t="s"/>
      <c r="Z255" s="22" t="s"/>
    </row>
    <row r="256" spans="1:26" ht="16.8" customHeight="true">
      <c r="A256" s="41" t="s">
        <v>896</v>
      </c>
      <c r="B256" s="30" t="s">
        <v>897</v>
      </c>
      <c r="C256" s="30" t="s">
        <v>165</v>
      </c>
      <c r="D256" s="30" t="s">
        <v>170</v>
      </c>
      <c r="E256" s="31" t="s">
        <v>652</v>
      </c>
      <c r="F256" s="22" t="s"/>
      <c r="G256" s="22" t="s"/>
      <c r="H256" s="22" t="s"/>
      <c r="I256" s="22" t="s"/>
      <c r="J256" s="22" t="s"/>
      <c r="K256" s="22" t="s"/>
      <c r="L256" s="22" t="s"/>
      <c r="M256" s="22" t="s"/>
      <c r="N256" s="22" t="s"/>
      <c r="O256" s="22" t="s"/>
      <c r="P256" s="22" t="s"/>
      <c r="Q256" s="22" t="s"/>
      <c r="R256" s="22" t="s"/>
      <c r="S256" s="22" t="s"/>
      <c r="T256" s="22" t="s"/>
      <c r="U256" s="22" t="s"/>
      <c r="V256" s="22" t="s"/>
      <c r="W256" s="22" t="s"/>
      <c r="X256" s="22" t="s"/>
      <c r="Y256" s="22" t="s"/>
      <c r="Z256" s="22" t="s"/>
    </row>
    <row r="257" spans="1:26" ht="16.8" customHeight="true">
      <c r="A257" s="41" t="s">
        <v>898</v>
      </c>
      <c r="B257" s="30" t="s">
        <v>899</v>
      </c>
      <c r="C257" s="30" t="s">
        <v>165</v>
      </c>
      <c r="D257" s="30" t="s"/>
      <c r="E257" s="31" t="s">
        <v>900</v>
      </c>
      <c r="F257" s="22" t="s"/>
      <c r="G257" s="22" t="s"/>
      <c r="H257" s="22" t="s"/>
      <c r="I257" s="22" t="s"/>
      <c r="J257" s="22" t="s"/>
      <c r="K257" s="22" t="s"/>
      <c r="L257" s="22" t="s"/>
      <c r="M257" s="22" t="s"/>
      <c r="N257" s="22" t="s"/>
      <c r="O257" s="22" t="s"/>
      <c r="P257" s="22" t="s"/>
      <c r="Q257" s="22" t="s"/>
      <c r="R257" s="22" t="s"/>
      <c r="S257" s="22" t="s"/>
      <c r="T257" s="22" t="s"/>
      <c r="U257" s="22" t="s"/>
      <c r="V257" s="22" t="s"/>
      <c r="W257" s="22" t="s"/>
      <c r="X257" s="22" t="s"/>
      <c r="Y257" s="22" t="s"/>
      <c r="Z257" s="22" t="s"/>
    </row>
    <row r="258" spans="1:26" ht="16.8" customHeight="true">
      <c r="A258" s="41" t="s">
        <v>901</v>
      </c>
      <c r="B258" s="30" t="s">
        <v>902</v>
      </c>
      <c r="C258" s="30" t="s">
        <v>165</v>
      </c>
      <c r="D258" s="30" t="s"/>
      <c r="E258" s="31" t="s">
        <v>903</v>
      </c>
      <c r="F258" s="22" t="s"/>
      <c r="G258" s="22" t="s"/>
      <c r="H258" s="22" t="s"/>
      <c r="I258" s="22" t="s"/>
      <c r="J258" s="22" t="s"/>
      <c r="K258" s="22" t="s"/>
      <c r="L258" s="22" t="s"/>
      <c r="M258" s="22" t="s"/>
      <c r="N258" s="22" t="s"/>
      <c r="O258" s="22" t="s"/>
      <c r="P258" s="22" t="s"/>
      <c r="Q258" s="22" t="s"/>
      <c r="R258" s="22" t="s"/>
      <c r="S258" s="22" t="s"/>
      <c r="T258" s="22" t="s"/>
      <c r="U258" s="22" t="s"/>
      <c r="V258" s="22" t="s"/>
      <c r="W258" s="22" t="s"/>
      <c r="X258" s="22" t="s"/>
      <c r="Y258" s="22" t="s"/>
      <c r="Z258" s="22" t="s"/>
    </row>
    <row r="259" spans="1:26" ht="16.8" customHeight="true">
      <c r="A259" s="41" t="s">
        <v>904</v>
      </c>
      <c r="B259" s="30" t="s">
        <v>905</v>
      </c>
      <c r="C259" s="30" t="s">
        <v>152</v>
      </c>
      <c r="D259" s="30" t="s">
        <v>528</v>
      </c>
      <c r="E259" s="31" t="s">
        <v>288</v>
      </c>
      <c r="F259" s="22" t="s"/>
      <c r="G259" s="22" t="s"/>
      <c r="H259" s="22" t="s"/>
      <c r="I259" s="22" t="s"/>
      <c r="J259" s="22" t="s"/>
      <c r="K259" s="22" t="s"/>
      <c r="L259" s="22" t="s"/>
      <c r="M259" s="22" t="s"/>
      <c r="N259" s="22" t="s"/>
      <c r="O259" s="22" t="s"/>
      <c r="P259" s="22" t="s"/>
      <c r="Q259" s="22" t="s"/>
      <c r="R259" s="22" t="s"/>
      <c r="S259" s="22" t="s"/>
      <c r="T259" s="22" t="s"/>
      <c r="U259" s="22" t="s"/>
      <c r="V259" s="22" t="s"/>
      <c r="W259" s="22" t="s"/>
      <c r="X259" s="22" t="s"/>
      <c r="Y259" s="22" t="s"/>
      <c r="Z259" s="22" t="s"/>
    </row>
    <row r="260" spans="1:26" ht="16.8" customHeight="true">
      <c r="A260" s="41" t="s">
        <v>906</v>
      </c>
      <c r="B260" s="30" t="s">
        <v>907</v>
      </c>
      <c r="C260" s="30" t="s">
        <v>484</v>
      </c>
      <c r="D260" s="30" t="s">
        <v>232</v>
      </c>
      <c r="E260" s="31" t="s">
        <v>908</v>
      </c>
      <c r="F260" s="22" t="s"/>
      <c r="G260" s="22" t="s"/>
      <c r="H260" s="22" t="s"/>
      <c r="I260" s="22" t="s"/>
      <c r="J260" s="22" t="s"/>
      <c r="K260" s="22" t="s"/>
      <c r="L260" s="22" t="s"/>
      <c r="M260" s="22" t="s"/>
      <c r="N260" s="22" t="s"/>
      <c r="O260" s="22" t="s"/>
      <c r="P260" s="22" t="s"/>
      <c r="Q260" s="22" t="s"/>
      <c r="R260" s="22" t="s"/>
      <c r="S260" s="22" t="s"/>
      <c r="T260" s="22" t="s"/>
      <c r="U260" s="22" t="s"/>
      <c r="V260" s="22" t="s"/>
      <c r="W260" s="22" t="s"/>
      <c r="X260" s="22" t="s"/>
      <c r="Y260" s="22" t="s"/>
      <c r="Z260" s="22" t="s"/>
    </row>
    <row r="261" spans="1:26" ht="16.8" customHeight="true">
      <c r="A261" s="41" t="s">
        <v>909</v>
      </c>
      <c r="B261" s="30" t="s">
        <v>910</v>
      </c>
      <c r="C261" s="30" t="s">
        <v>165</v>
      </c>
      <c r="D261" s="30" t="s"/>
      <c r="E261" s="31" t="s">
        <v>911</v>
      </c>
      <c r="F261" s="22" t="s"/>
      <c r="G261" s="22" t="s"/>
      <c r="H261" s="22" t="s"/>
      <c r="I261" s="22" t="s"/>
      <c r="J261" s="22" t="s"/>
      <c r="K261" s="22" t="s"/>
      <c r="L261" s="22" t="s"/>
      <c r="M261" s="22" t="s"/>
      <c r="N261" s="22" t="s"/>
      <c r="O261" s="22" t="s"/>
      <c r="P261" s="22" t="s"/>
      <c r="Q261" s="22" t="s"/>
      <c r="R261" s="22" t="s"/>
      <c r="S261" s="22" t="s"/>
      <c r="T261" s="22" t="s"/>
      <c r="U261" s="22" t="s"/>
      <c r="V261" s="22" t="s"/>
      <c r="W261" s="22" t="s"/>
      <c r="X261" s="22" t="s"/>
      <c r="Y261" s="22" t="s"/>
      <c r="Z261" s="22" t="s"/>
    </row>
    <row r="262" spans="1:26" ht="16.8" customHeight="true">
      <c r="A262" s="41" t="s">
        <v>710</v>
      </c>
      <c r="B262" s="30" t="s">
        <v>711</v>
      </c>
      <c r="C262" s="30" t="s">
        <v>165</v>
      </c>
      <c r="D262" s="30" t="s"/>
      <c r="E262" s="31" t="s">
        <v>912</v>
      </c>
      <c r="F262" s="22" t="s"/>
      <c r="G262" s="22" t="s"/>
      <c r="H262" s="22" t="s"/>
      <c r="I262" s="22" t="s"/>
      <c r="J262" s="22" t="s"/>
      <c r="K262" s="22" t="s"/>
      <c r="L262" s="22" t="s"/>
      <c r="M262" s="22" t="s"/>
      <c r="N262" s="22" t="s"/>
      <c r="O262" s="22" t="s"/>
      <c r="P262" s="22" t="s"/>
      <c r="Q262" s="22" t="s"/>
      <c r="R262" s="22" t="s"/>
      <c r="S262" s="22" t="s"/>
      <c r="T262" s="22" t="s"/>
      <c r="U262" s="22" t="s"/>
      <c r="V262" s="22" t="s"/>
      <c r="W262" s="22" t="s"/>
      <c r="X262" s="22" t="s"/>
      <c r="Y262" s="22" t="s"/>
      <c r="Z262" s="22" t="s"/>
    </row>
    <row r="263" spans="1:26" ht="16.8" customHeight="true">
      <c r="A263" s="41" t="s">
        <v>913</v>
      </c>
      <c r="B263" s="30" t="s">
        <v>914</v>
      </c>
      <c r="C263" s="30" t="s">
        <v>165</v>
      </c>
      <c r="D263" s="30" t="s"/>
      <c r="E263" s="31" t="s">
        <v>915</v>
      </c>
      <c r="F263" s="22" t="s"/>
      <c r="G263" s="22" t="s"/>
      <c r="H263" s="22" t="s"/>
      <c r="I263" s="22" t="s"/>
      <c r="J263" s="22" t="s"/>
      <c r="K263" s="22" t="s"/>
      <c r="L263" s="22" t="s"/>
      <c r="M263" s="22" t="s"/>
      <c r="N263" s="22" t="s"/>
      <c r="O263" s="22" t="s"/>
      <c r="P263" s="22" t="s"/>
      <c r="Q263" s="22" t="s"/>
      <c r="R263" s="22" t="s"/>
      <c r="S263" s="22" t="s"/>
      <c r="T263" s="22" t="s"/>
      <c r="U263" s="22" t="s"/>
      <c r="V263" s="22" t="s"/>
      <c r="W263" s="22" t="s"/>
      <c r="X263" s="22" t="s"/>
      <c r="Y263" s="22" t="s"/>
      <c r="Z263" s="22" t="s"/>
    </row>
    <row r="264" spans="1:26" ht="16.8" customHeight="true">
      <c r="A264" s="41" t="s">
        <v>916</v>
      </c>
      <c r="B264" s="30" t="s">
        <v>917</v>
      </c>
      <c r="C264" s="30" t="s">
        <v>395</v>
      </c>
      <c r="D264" s="30" t="s">
        <v>918</v>
      </c>
      <c r="E264" s="31" t="s">
        <v>919</v>
      </c>
      <c r="F264" s="22" t="s"/>
      <c r="G264" s="22" t="s"/>
      <c r="H264" s="22" t="s"/>
      <c r="I264" s="22" t="s"/>
      <c r="J264" s="22" t="s"/>
      <c r="K264" s="22" t="s"/>
      <c r="L264" s="22" t="s"/>
      <c r="M264" s="22" t="s"/>
      <c r="N264" s="22" t="s"/>
      <c r="O264" s="22" t="s"/>
      <c r="P264" s="22" t="s"/>
      <c r="Q264" s="22" t="s"/>
      <c r="R264" s="22" t="s"/>
      <c r="S264" s="22" t="s"/>
      <c r="T264" s="22" t="s"/>
      <c r="U264" s="22" t="s"/>
      <c r="V264" s="22" t="s"/>
      <c r="W264" s="22" t="s"/>
      <c r="X264" s="22" t="s"/>
      <c r="Y264" s="22" t="s"/>
      <c r="Z264" s="22" t="s"/>
    </row>
    <row r="265" spans="1:26" ht="16.8" customHeight="true">
      <c r="A265" s="41" t="s">
        <v>920</v>
      </c>
      <c r="B265" s="30" t="s">
        <v>921</v>
      </c>
      <c r="C265" s="30" t="s">
        <v>152</v>
      </c>
      <c r="D265" s="30" t="s">
        <v>402</v>
      </c>
      <c r="E265" s="31" t="s">
        <v>922</v>
      </c>
      <c r="F265" s="22" t="s"/>
      <c r="G265" s="22" t="s"/>
      <c r="H265" s="22" t="s"/>
      <c r="I265" s="22" t="s"/>
      <c r="J265" s="22" t="s"/>
      <c r="K265" s="22" t="s"/>
      <c r="L265" s="22" t="s"/>
      <c r="M265" s="22" t="s"/>
      <c r="N265" s="22" t="s"/>
      <c r="O265" s="22" t="s"/>
      <c r="P265" s="22" t="s"/>
      <c r="Q265" s="22" t="s"/>
      <c r="R265" s="22" t="s"/>
      <c r="S265" s="22" t="s"/>
      <c r="T265" s="22" t="s"/>
      <c r="U265" s="22" t="s"/>
      <c r="V265" s="22" t="s"/>
      <c r="W265" s="22" t="s"/>
      <c r="X265" s="22" t="s"/>
      <c r="Y265" s="22" t="s"/>
      <c r="Z265" s="22" t="s"/>
    </row>
    <row r="266" spans="1:26" ht="16.8" customHeight="true">
      <c r="A266" s="41" t="s">
        <v>923</v>
      </c>
      <c r="B266" s="30" t="s">
        <v>924</v>
      </c>
      <c r="C266" s="30" t="s">
        <v>165</v>
      </c>
      <c r="D266" s="30" t="s"/>
      <c r="E266" s="31" t="s">
        <v>925</v>
      </c>
      <c r="F266" s="22" t="s"/>
      <c r="G266" s="22" t="s"/>
      <c r="H266" s="22" t="s"/>
      <c r="I266" s="22" t="s"/>
      <c r="J266" s="22" t="s"/>
      <c r="K266" s="22" t="s"/>
      <c r="L266" s="22" t="s"/>
      <c r="M266" s="22" t="s"/>
      <c r="N266" s="22" t="s"/>
      <c r="O266" s="22" t="s"/>
      <c r="P266" s="22" t="s"/>
      <c r="Q266" s="22" t="s"/>
      <c r="R266" s="22" t="s"/>
      <c r="S266" s="22" t="s"/>
      <c r="T266" s="22" t="s"/>
      <c r="U266" s="22" t="s"/>
      <c r="V266" s="22" t="s"/>
      <c r="W266" s="22" t="s"/>
      <c r="X266" s="22" t="s"/>
      <c r="Y266" s="22" t="s"/>
      <c r="Z266" s="22" t="s"/>
    </row>
    <row r="267" spans="1:26" ht="16.8" customHeight="true">
      <c r="A267" s="41" t="s">
        <v>926</v>
      </c>
      <c r="B267" s="30" t="s">
        <v>927</v>
      </c>
      <c r="C267" s="30" t="s">
        <v>165</v>
      </c>
      <c r="D267" s="30" t="s">
        <v>232</v>
      </c>
      <c r="E267" s="31" t="s">
        <v>288</v>
      </c>
      <c r="F267" s="22" t="s"/>
      <c r="G267" s="22" t="s"/>
      <c r="H267" s="22" t="s"/>
      <c r="I267" s="22" t="s"/>
      <c r="J267" s="22" t="s"/>
      <c r="K267" s="22" t="s"/>
      <c r="L267" s="22" t="s"/>
      <c r="M267" s="22" t="s"/>
      <c r="N267" s="22" t="s"/>
      <c r="O267" s="22" t="s"/>
      <c r="P267" s="22" t="s"/>
      <c r="Q267" s="22" t="s"/>
      <c r="R267" s="22" t="s"/>
      <c r="S267" s="22" t="s"/>
      <c r="T267" s="22" t="s"/>
      <c r="U267" s="22" t="s"/>
      <c r="V267" s="22" t="s"/>
      <c r="W267" s="22" t="s"/>
      <c r="X267" s="22" t="s"/>
      <c r="Y267" s="22" t="s"/>
      <c r="Z267" s="22" t="s"/>
    </row>
    <row r="268" spans="1:26" ht="16.8" customHeight="true">
      <c r="A268" s="41" t="s">
        <v>928</v>
      </c>
      <c r="B268" s="30" t="s">
        <v>929</v>
      </c>
      <c r="C268" s="30" t="s">
        <v>165</v>
      </c>
      <c r="D268" s="30" t="s"/>
      <c r="E268" s="31" t="s">
        <v>930</v>
      </c>
      <c r="F268" s="22" t="s"/>
      <c r="G268" s="22" t="s"/>
      <c r="H268" s="22" t="s"/>
      <c r="I268" s="22" t="s"/>
      <c r="J268" s="22" t="s"/>
      <c r="K268" s="22" t="s"/>
      <c r="L268" s="22" t="s"/>
      <c r="M268" s="22" t="s"/>
      <c r="N268" s="22" t="s"/>
      <c r="O268" s="22" t="s"/>
      <c r="P268" s="22" t="s"/>
      <c r="Q268" s="22" t="s"/>
      <c r="R268" s="22" t="s"/>
      <c r="S268" s="22" t="s"/>
      <c r="T268" s="22" t="s"/>
      <c r="U268" s="22" t="s"/>
      <c r="V268" s="22" t="s"/>
      <c r="W268" s="22" t="s"/>
      <c r="X268" s="22" t="s"/>
      <c r="Y268" s="22" t="s"/>
      <c r="Z268" s="22" t="s"/>
    </row>
    <row r="269" spans="1:26" ht="16.8" customHeight="true">
      <c r="A269" s="41" t="s">
        <v>931</v>
      </c>
      <c r="B269" s="30" t="s">
        <v>932</v>
      </c>
      <c r="C269" s="30" t="s">
        <v>165</v>
      </c>
      <c r="D269" s="30" t="s"/>
      <c r="E269" s="31" t="s">
        <v>640</v>
      </c>
      <c r="F269" s="22" t="s"/>
      <c r="G269" s="22" t="s"/>
      <c r="H269" s="22" t="s"/>
      <c r="I269" s="22" t="s"/>
      <c r="J269" s="22" t="s"/>
      <c r="K269" s="22" t="s"/>
      <c r="L269" s="22" t="s"/>
      <c r="M269" s="22" t="s"/>
      <c r="N269" s="22" t="s"/>
      <c r="O269" s="22" t="s"/>
      <c r="P269" s="22" t="s"/>
      <c r="Q269" s="22" t="s"/>
      <c r="R269" s="22" t="s"/>
      <c r="S269" s="22" t="s"/>
      <c r="T269" s="22" t="s"/>
      <c r="U269" s="22" t="s"/>
      <c r="V269" s="22" t="s"/>
      <c r="W269" s="22" t="s"/>
      <c r="X269" s="22" t="s"/>
      <c r="Y269" s="22" t="s"/>
      <c r="Z269" s="22" t="s"/>
    </row>
    <row r="270" spans="1:26" ht="16.8" customHeight="true">
      <c r="A270" s="41" t="s">
        <v>933</v>
      </c>
      <c r="B270" s="30" t="s">
        <v>934</v>
      </c>
      <c r="C270" s="30" t="s">
        <v>165</v>
      </c>
      <c r="D270" s="30" t="s">
        <v>232</v>
      </c>
      <c r="E270" s="31" t="s">
        <v>935</v>
      </c>
      <c r="F270" s="22" t="s"/>
      <c r="G270" s="22" t="s"/>
      <c r="H270" s="22" t="s"/>
      <c r="I270" s="22" t="s"/>
      <c r="J270" s="22" t="s"/>
      <c r="K270" s="22" t="s"/>
      <c r="L270" s="22" t="s"/>
      <c r="M270" s="22" t="s"/>
      <c r="N270" s="22" t="s"/>
      <c r="O270" s="22" t="s"/>
      <c r="P270" s="22" t="s"/>
      <c r="Q270" s="22" t="s"/>
      <c r="R270" s="22" t="s"/>
      <c r="S270" s="22" t="s"/>
      <c r="T270" s="22" t="s"/>
      <c r="U270" s="22" t="s"/>
      <c r="V270" s="22" t="s"/>
      <c r="W270" s="22" t="s"/>
      <c r="X270" s="22" t="s"/>
      <c r="Y270" s="22" t="s"/>
      <c r="Z270" s="22" t="s"/>
    </row>
    <row r="271" spans="1:26" ht="16.8" customHeight="true">
      <c r="A271" s="41" t="s">
        <v>936</v>
      </c>
      <c r="B271" s="30" t="s">
        <v>937</v>
      </c>
      <c r="C271" s="30" t="s">
        <v>165</v>
      </c>
      <c r="D271" s="30" t="s"/>
      <c r="E271" s="31" t="s">
        <v>938</v>
      </c>
      <c r="F271" s="22" t="s"/>
      <c r="G271" s="22" t="s"/>
      <c r="H271" s="22" t="s"/>
      <c r="I271" s="22" t="s"/>
      <c r="J271" s="22" t="s"/>
      <c r="K271" s="22" t="s"/>
      <c r="L271" s="22" t="s"/>
      <c r="M271" s="22" t="s"/>
      <c r="N271" s="22" t="s"/>
      <c r="O271" s="22" t="s"/>
      <c r="P271" s="22" t="s"/>
      <c r="Q271" s="22" t="s"/>
      <c r="R271" s="22" t="s"/>
      <c r="S271" s="22" t="s"/>
      <c r="T271" s="22" t="s"/>
      <c r="U271" s="22" t="s"/>
      <c r="V271" s="22" t="s"/>
      <c r="W271" s="22" t="s"/>
      <c r="X271" s="22" t="s"/>
      <c r="Y271" s="22" t="s"/>
      <c r="Z271" s="22" t="s"/>
    </row>
    <row r="272" spans="1:26" ht="16.8" customHeight="true">
      <c r="A272" s="41" t="s">
        <v>939</v>
      </c>
      <c r="B272" s="30" t="s">
        <v>940</v>
      </c>
      <c r="C272" s="30" t="s">
        <v>165</v>
      </c>
      <c r="D272" s="30" t="s"/>
      <c r="E272" s="31" t="s">
        <v>941</v>
      </c>
      <c r="F272" s="22" t="s"/>
      <c r="G272" s="22" t="s"/>
      <c r="H272" s="22" t="s"/>
      <c r="I272" s="22" t="s"/>
      <c r="J272" s="22" t="s"/>
      <c r="K272" s="22" t="s"/>
      <c r="L272" s="22" t="s"/>
      <c r="M272" s="22" t="s"/>
      <c r="N272" s="22" t="s"/>
      <c r="O272" s="22" t="s"/>
      <c r="P272" s="22" t="s"/>
      <c r="Q272" s="22" t="s"/>
      <c r="R272" s="22" t="s"/>
      <c r="S272" s="22" t="s"/>
      <c r="T272" s="22" t="s"/>
      <c r="U272" s="22" t="s"/>
      <c r="V272" s="22" t="s"/>
      <c r="W272" s="22" t="s"/>
      <c r="X272" s="22" t="s"/>
      <c r="Y272" s="22" t="s"/>
      <c r="Z272" s="22" t="s"/>
    </row>
    <row r="273" spans="1:26" ht="16.8" customHeight="true">
      <c r="A273" s="41" t="s">
        <v>942</v>
      </c>
      <c r="B273" s="30" t="s">
        <v>943</v>
      </c>
      <c r="C273" s="30" t="s">
        <v>165</v>
      </c>
      <c r="D273" s="30" t="s">
        <v>157</v>
      </c>
      <c r="E273" s="31" t="s">
        <v>944</v>
      </c>
      <c r="F273" s="22" t="s"/>
      <c r="G273" s="22" t="s"/>
      <c r="H273" s="22" t="s"/>
      <c r="I273" s="22" t="s"/>
      <c r="J273" s="22" t="s"/>
      <c r="K273" s="22" t="s"/>
      <c r="L273" s="22" t="s"/>
      <c r="M273" s="22" t="s"/>
      <c r="N273" s="22" t="s"/>
      <c r="O273" s="22" t="s"/>
      <c r="P273" s="22" t="s"/>
      <c r="Q273" s="22" t="s"/>
      <c r="R273" s="22" t="s"/>
      <c r="S273" s="22" t="s"/>
      <c r="T273" s="22" t="s"/>
      <c r="U273" s="22" t="s"/>
      <c r="V273" s="22" t="s"/>
      <c r="W273" s="22" t="s"/>
      <c r="X273" s="22" t="s"/>
      <c r="Y273" s="22" t="s"/>
      <c r="Z273" s="22" t="s"/>
    </row>
    <row r="274" spans="1:26" ht="16.8" customHeight="true">
      <c r="A274" s="41" t="s">
        <v>945</v>
      </c>
      <c r="B274" s="30" t="s">
        <v>946</v>
      </c>
      <c r="C274" s="30" t="s">
        <v>165</v>
      </c>
      <c r="D274" s="30" t="s"/>
      <c r="E274" s="31" t="s">
        <v>947</v>
      </c>
      <c r="F274" s="22" t="s"/>
      <c r="G274" s="22" t="s"/>
      <c r="H274" s="22" t="s"/>
      <c r="I274" s="22" t="s"/>
      <c r="J274" s="22" t="s"/>
      <c r="K274" s="22" t="s"/>
      <c r="L274" s="22" t="s"/>
      <c r="M274" s="22" t="s"/>
      <c r="N274" s="22" t="s"/>
      <c r="O274" s="22" t="s"/>
      <c r="P274" s="22" t="s"/>
      <c r="Q274" s="22" t="s"/>
      <c r="R274" s="22" t="s"/>
      <c r="S274" s="22" t="s"/>
      <c r="T274" s="22" t="s"/>
      <c r="U274" s="22" t="s"/>
      <c r="V274" s="22" t="s"/>
      <c r="W274" s="22" t="s"/>
      <c r="X274" s="22" t="s"/>
      <c r="Y274" s="22" t="s"/>
      <c r="Z274" s="22" t="s"/>
    </row>
    <row r="275" spans="1:26" ht="16.8" customHeight="true">
      <c r="A275" s="41" t="s">
        <v>948</v>
      </c>
      <c r="B275" s="30" t="s">
        <v>949</v>
      </c>
      <c r="C275" s="30" t="s">
        <v>165</v>
      </c>
      <c r="D275" s="30" t="s"/>
      <c r="E275" s="31" t="s">
        <v>950</v>
      </c>
      <c r="F275" s="22" t="s"/>
      <c r="G275" s="22" t="s"/>
      <c r="H275" s="22" t="s"/>
      <c r="I275" s="22" t="s"/>
      <c r="J275" s="22" t="s"/>
      <c r="K275" s="22" t="s"/>
      <c r="L275" s="22" t="s"/>
      <c r="M275" s="22" t="s"/>
      <c r="N275" s="22" t="s"/>
      <c r="O275" s="22" t="s"/>
      <c r="P275" s="22" t="s"/>
      <c r="Q275" s="22" t="s"/>
      <c r="R275" s="22" t="s"/>
      <c r="S275" s="22" t="s"/>
      <c r="T275" s="22" t="s"/>
      <c r="U275" s="22" t="s"/>
      <c r="V275" s="22" t="s"/>
      <c r="W275" s="22" t="s"/>
      <c r="X275" s="22" t="s"/>
      <c r="Y275" s="22" t="s"/>
      <c r="Z275" s="22" t="s"/>
    </row>
    <row r="276" spans="1:26" ht="16.8" customHeight="true">
      <c r="A276" s="41" t="s">
        <v>951</v>
      </c>
      <c r="B276" s="30" t="s">
        <v>952</v>
      </c>
      <c r="C276" s="30" t="s">
        <v>165</v>
      </c>
      <c r="D276" s="30" t="s"/>
      <c r="E276" s="31" t="s">
        <v>953</v>
      </c>
      <c r="F276" s="22" t="s"/>
      <c r="G276" s="22" t="s"/>
      <c r="H276" s="22" t="s"/>
      <c r="I276" s="22" t="s"/>
      <c r="J276" s="22" t="s"/>
      <c r="K276" s="22" t="s"/>
      <c r="L276" s="22" t="s"/>
      <c r="M276" s="22" t="s"/>
      <c r="N276" s="22" t="s"/>
      <c r="O276" s="22" t="s"/>
      <c r="P276" s="22" t="s"/>
      <c r="Q276" s="22" t="s"/>
      <c r="R276" s="22" t="s"/>
      <c r="S276" s="22" t="s"/>
      <c r="T276" s="22" t="s"/>
      <c r="U276" s="22" t="s"/>
      <c r="V276" s="22" t="s"/>
      <c r="W276" s="22" t="s"/>
      <c r="X276" s="22" t="s"/>
      <c r="Y276" s="22" t="s"/>
      <c r="Z276" s="22" t="s"/>
    </row>
    <row r="277" spans="1:26" ht="16.8" customHeight="true">
      <c r="A277" s="41" t="s">
        <v>954</v>
      </c>
      <c r="B277" s="30" t="s">
        <v>955</v>
      </c>
      <c r="C277" s="30" t="s">
        <v>165</v>
      </c>
      <c r="D277" s="30" t="s">
        <v>170</v>
      </c>
      <c r="E277" s="31" t="s">
        <v>956</v>
      </c>
      <c r="F277" s="22" t="s"/>
      <c r="G277" s="22" t="s"/>
      <c r="H277" s="22" t="s"/>
      <c r="I277" s="22" t="s"/>
      <c r="J277" s="22" t="s"/>
      <c r="K277" s="22" t="s"/>
      <c r="L277" s="22" t="s"/>
      <c r="M277" s="22" t="s"/>
      <c r="N277" s="22" t="s"/>
      <c r="O277" s="22" t="s"/>
      <c r="P277" s="22" t="s"/>
      <c r="Q277" s="22" t="s"/>
      <c r="R277" s="22" t="s"/>
      <c r="S277" s="22" t="s"/>
      <c r="T277" s="22" t="s"/>
      <c r="U277" s="22" t="s"/>
      <c r="V277" s="22" t="s"/>
      <c r="W277" s="22" t="s"/>
      <c r="X277" s="22" t="s"/>
      <c r="Y277" s="22" t="s"/>
      <c r="Z277" s="22" t="s"/>
    </row>
    <row r="278" spans="1:26" ht="16.8" customHeight="true">
      <c r="A278" s="41" t="s">
        <v>957</v>
      </c>
      <c r="B278" s="30" t="s">
        <v>958</v>
      </c>
      <c r="C278" s="30" t="s">
        <v>351</v>
      </c>
      <c r="D278" s="30" t="s"/>
      <c r="E278" s="31" t="s">
        <v>959</v>
      </c>
      <c r="F278" s="22" t="s"/>
      <c r="G278" s="22" t="s"/>
      <c r="H278" s="22" t="s"/>
      <c r="I278" s="22" t="s"/>
      <c r="J278" s="22" t="s"/>
      <c r="K278" s="22" t="s"/>
      <c r="L278" s="22" t="s"/>
      <c r="M278" s="22" t="s"/>
      <c r="N278" s="22" t="s"/>
      <c r="O278" s="22" t="s"/>
      <c r="P278" s="22" t="s"/>
      <c r="Q278" s="22" t="s"/>
      <c r="R278" s="22" t="s"/>
      <c r="S278" s="22" t="s"/>
      <c r="T278" s="22" t="s"/>
      <c r="U278" s="22" t="s"/>
      <c r="V278" s="22" t="s"/>
      <c r="W278" s="22" t="s"/>
      <c r="X278" s="22" t="s"/>
      <c r="Y278" s="22" t="s"/>
      <c r="Z278" s="22" t="s"/>
    </row>
    <row r="279" spans="1:26" ht="16.8" customHeight="true">
      <c r="A279" s="41" t="s">
        <v>960</v>
      </c>
      <c r="B279" s="30" t="s">
        <v>961</v>
      </c>
      <c r="C279" s="30" t="s">
        <v>165</v>
      </c>
      <c r="D279" s="30" t="s"/>
      <c r="E279" s="31" t="s">
        <v>962</v>
      </c>
      <c r="F279" s="22" t="s"/>
      <c r="G279" s="22" t="s"/>
      <c r="H279" s="22" t="s"/>
      <c r="I279" s="22" t="s"/>
      <c r="J279" s="22" t="s"/>
      <c r="K279" s="22" t="s"/>
      <c r="L279" s="22" t="s"/>
      <c r="M279" s="22" t="s"/>
      <c r="N279" s="22" t="s"/>
      <c r="O279" s="22" t="s"/>
      <c r="P279" s="22" t="s"/>
      <c r="Q279" s="22" t="s"/>
      <c r="R279" s="22" t="s"/>
      <c r="S279" s="22" t="s"/>
      <c r="T279" s="22" t="s"/>
      <c r="U279" s="22" t="s"/>
      <c r="V279" s="22" t="s"/>
      <c r="W279" s="22" t="s"/>
      <c r="X279" s="22" t="s"/>
      <c r="Y279" s="22" t="s"/>
      <c r="Z279" s="22" t="s"/>
    </row>
    <row r="280" spans="1:26" ht="16.8" customHeight="true">
      <c r="A280" s="41" t="s">
        <v>963</v>
      </c>
      <c r="B280" s="30" t="s">
        <v>964</v>
      </c>
      <c r="C280" s="30" t="s">
        <v>165</v>
      </c>
      <c r="D280" s="30" t="s"/>
      <c r="E280" s="31" t="s">
        <v>965</v>
      </c>
      <c r="F280" s="22" t="s"/>
      <c r="G280" s="22" t="s"/>
      <c r="H280" s="22" t="s"/>
      <c r="I280" s="22" t="s"/>
      <c r="J280" s="22" t="s"/>
      <c r="K280" s="22" t="s"/>
      <c r="L280" s="22" t="s"/>
      <c r="M280" s="22" t="s"/>
      <c r="N280" s="22" t="s"/>
      <c r="O280" s="22" t="s"/>
      <c r="P280" s="22" t="s"/>
      <c r="Q280" s="22" t="s"/>
      <c r="R280" s="22" t="s"/>
      <c r="S280" s="22" t="s"/>
      <c r="T280" s="22" t="s"/>
      <c r="U280" s="22" t="s"/>
      <c r="V280" s="22" t="s"/>
      <c r="W280" s="22" t="s"/>
      <c r="X280" s="22" t="s"/>
      <c r="Y280" s="22" t="s"/>
      <c r="Z280" s="22" t="s"/>
    </row>
    <row r="281" spans="1:26" ht="16.8" customHeight="true">
      <c r="A281" s="41" t="s">
        <v>966</v>
      </c>
      <c r="B281" s="30" t="s">
        <v>967</v>
      </c>
      <c r="C281" s="30" t="s">
        <v>165</v>
      </c>
      <c r="D281" s="30" t="s"/>
      <c r="E281" s="31" t="s">
        <v>968</v>
      </c>
      <c r="F281" s="22" t="s"/>
      <c r="G281" s="22" t="s"/>
      <c r="H281" s="22" t="s"/>
      <c r="I281" s="22" t="s"/>
      <c r="J281" s="22" t="s"/>
      <c r="K281" s="22" t="s"/>
      <c r="L281" s="22" t="s"/>
      <c r="M281" s="22" t="s"/>
      <c r="N281" s="22" t="s"/>
      <c r="O281" s="22" t="s"/>
      <c r="P281" s="22" t="s"/>
      <c r="Q281" s="22" t="s"/>
      <c r="R281" s="22" t="s"/>
      <c r="S281" s="22" t="s"/>
      <c r="T281" s="22" t="s"/>
      <c r="U281" s="22" t="s"/>
      <c r="V281" s="22" t="s"/>
      <c r="W281" s="22" t="s"/>
      <c r="X281" s="22" t="s"/>
      <c r="Y281" s="22" t="s"/>
      <c r="Z281" s="22" t="s"/>
    </row>
    <row r="282" spans="1:26" ht="16.8" customHeight="true">
      <c r="A282" s="41" t="s">
        <v>969</v>
      </c>
      <c r="B282" s="30" t="s">
        <v>970</v>
      </c>
      <c r="C282" s="30" t="s">
        <v>165</v>
      </c>
      <c r="D282" s="30" t="s"/>
      <c r="E282" s="31" t="s">
        <v>971</v>
      </c>
      <c r="F282" s="22" t="s"/>
      <c r="G282" s="22" t="s"/>
      <c r="H282" s="22" t="s"/>
      <c r="I282" s="22" t="s"/>
      <c r="J282" s="22" t="s"/>
      <c r="K282" s="22" t="s"/>
      <c r="L282" s="22" t="s"/>
      <c r="M282" s="22" t="s"/>
      <c r="N282" s="22" t="s"/>
      <c r="O282" s="22" t="s"/>
      <c r="P282" s="22" t="s"/>
      <c r="Q282" s="22" t="s"/>
      <c r="R282" s="22" t="s"/>
      <c r="S282" s="22" t="s"/>
      <c r="T282" s="22" t="s"/>
      <c r="U282" s="22" t="s"/>
      <c r="V282" s="22" t="s"/>
      <c r="W282" s="22" t="s"/>
      <c r="X282" s="22" t="s"/>
      <c r="Y282" s="22" t="s"/>
      <c r="Z282" s="22" t="s"/>
    </row>
    <row r="283" spans="1:26" ht="16.8" customHeight="true">
      <c r="A283" s="41" t="s">
        <v>972</v>
      </c>
      <c r="B283" s="30" t="s">
        <v>973</v>
      </c>
      <c r="C283" s="30" t="s">
        <v>165</v>
      </c>
      <c r="D283" s="30" t="s"/>
      <c r="E283" s="31" t="s">
        <v>974</v>
      </c>
      <c r="F283" s="22" t="s"/>
      <c r="G283" s="22" t="s"/>
      <c r="H283" s="22" t="s"/>
      <c r="I283" s="22" t="s"/>
      <c r="J283" s="22" t="s"/>
      <c r="K283" s="22" t="s"/>
      <c r="L283" s="22" t="s"/>
      <c r="M283" s="22" t="s"/>
      <c r="N283" s="22" t="s"/>
      <c r="O283" s="22" t="s"/>
      <c r="P283" s="22" t="s"/>
      <c r="Q283" s="22" t="s"/>
      <c r="R283" s="22" t="s"/>
      <c r="S283" s="22" t="s"/>
      <c r="T283" s="22" t="s"/>
      <c r="U283" s="22" t="s"/>
      <c r="V283" s="22" t="s"/>
      <c r="W283" s="22" t="s"/>
      <c r="X283" s="22" t="s"/>
      <c r="Y283" s="22" t="s"/>
      <c r="Z283" s="22" t="s"/>
    </row>
    <row r="284" spans="1:26" ht="16.8" customHeight="true">
      <c r="A284" s="41" t="s">
        <v>975</v>
      </c>
      <c r="B284" s="30" t="s">
        <v>976</v>
      </c>
      <c r="C284" s="30" t="s">
        <v>382</v>
      </c>
      <c r="D284" s="30" t="s"/>
      <c r="E284" s="31" t="s">
        <v>977</v>
      </c>
      <c r="F284" s="22" t="s"/>
      <c r="G284" s="22" t="s"/>
      <c r="H284" s="22" t="s"/>
      <c r="I284" s="22" t="s"/>
      <c r="J284" s="22" t="s"/>
      <c r="K284" s="22" t="s"/>
      <c r="L284" s="22" t="s"/>
      <c r="M284" s="22" t="s"/>
      <c r="N284" s="22" t="s"/>
      <c r="O284" s="22" t="s"/>
      <c r="P284" s="22" t="s"/>
      <c r="Q284" s="22" t="s"/>
      <c r="R284" s="22" t="s"/>
      <c r="S284" s="22" t="s"/>
      <c r="T284" s="22" t="s"/>
      <c r="U284" s="22" t="s"/>
      <c r="V284" s="22" t="s"/>
      <c r="W284" s="22" t="s"/>
      <c r="X284" s="22" t="s"/>
      <c r="Y284" s="22" t="s"/>
      <c r="Z284" s="22" t="s"/>
    </row>
    <row r="285" spans="1:26" ht="16.8" customHeight="true">
      <c r="A285" s="41" t="s">
        <v>978</v>
      </c>
      <c r="B285" s="30" t="s">
        <v>979</v>
      </c>
      <c r="C285" s="30" t="s">
        <v>443</v>
      </c>
      <c r="D285" s="30" t="s">
        <v>485</v>
      </c>
      <c r="E285" s="31" t="s">
        <v>980</v>
      </c>
      <c r="F285" s="22" t="s"/>
      <c r="G285" s="22" t="s"/>
      <c r="H285" s="22" t="s"/>
      <c r="I285" s="22" t="s"/>
      <c r="J285" s="22" t="s"/>
      <c r="K285" s="22" t="s"/>
      <c r="L285" s="22" t="s"/>
      <c r="M285" s="22" t="s"/>
      <c r="N285" s="22" t="s"/>
      <c r="O285" s="22" t="s"/>
      <c r="P285" s="22" t="s"/>
      <c r="Q285" s="22" t="s"/>
      <c r="R285" s="22" t="s"/>
      <c r="S285" s="22" t="s"/>
      <c r="T285" s="22" t="s"/>
      <c r="U285" s="22" t="s"/>
      <c r="V285" s="22" t="s"/>
      <c r="W285" s="22" t="s"/>
      <c r="X285" s="22" t="s"/>
      <c r="Y285" s="22" t="s"/>
      <c r="Z285" s="22" t="s"/>
    </row>
    <row r="286" spans="1:26" ht="16.8" customHeight="true">
      <c r="A286" s="41" t="s">
        <v>981</v>
      </c>
      <c r="B286" s="30" t="s">
        <v>982</v>
      </c>
      <c r="C286" s="30" t="s">
        <v>165</v>
      </c>
      <c r="D286" s="30" t="s"/>
      <c r="E286" s="31" t="s">
        <v>983</v>
      </c>
      <c r="F286" s="22" t="s"/>
      <c r="G286" s="22" t="s"/>
      <c r="H286" s="22" t="s"/>
      <c r="I286" s="22" t="s"/>
      <c r="J286" s="22" t="s"/>
      <c r="K286" s="22" t="s"/>
      <c r="L286" s="22" t="s"/>
      <c r="M286" s="22" t="s"/>
      <c r="N286" s="22" t="s"/>
      <c r="O286" s="22" t="s"/>
      <c r="P286" s="22" t="s"/>
      <c r="Q286" s="22" t="s"/>
      <c r="R286" s="22" t="s"/>
      <c r="S286" s="22" t="s"/>
      <c r="T286" s="22" t="s"/>
      <c r="U286" s="22" t="s"/>
      <c r="V286" s="22" t="s"/>
      <c r="W286" s="22" t="s"/>
      <c r="X286" s="22" t="s"/>
      <c r="Y286" s="22" t="s"/>
      <c r="Z286" s="22" t="s"/>
    </row>
    <row r="287" spans="1:26" ht="16.8" customHeight="true">
      <c r="A287" s="41" t="s">
        <v>984</v>
      </c>
      <c r="B287" s="30" t="s">
        <v>985</v>
      </c>
      <c r="C287" s="30" t="s">
        <v>165</v>
      </c>
      <c r="D287" s="30" t="s"/>
      <c r="E287" s="31" t="s">
        <v>986</v>
      </c>
      <c r="F287" s="22" t="s"/>
      <c r="G287" s="22" t="s"/>
      <c r="H287" s="22" t="s"/>
      <c r="I287" s="22" t="s"/>
      <c r="J287" s="22" t="s"/>
      <c r="K287" s="22" t="s"/>
      <c r="L287" s="22" t="s"/>
      <c r="M287" s="22" t="s"/>
      <c r="N287" s="22" t="s"/>
      <c r="O287" s="22" t="s"/>
      <c r="P287" s="22" t="s"/>
      <c r="Q287" s="22" t="s"/>
      <c r="R287" s="22" t="s"/>
      <c r="S287" s="22" t="s"/>
      <c r="T287" s="22" t="s"/>
      <c r="U287" s="22" t="s"/>
      <c r="V287" s="22" t="s"/>
      <c r="W287" s="22" t="s"/>
      <c r="X287" s="22" t="s"/>
      <c r="Y287" s="22" t="s"/>
      <c r="Z287" s="22" t="s"/>
    </row>
    <row r="288" spans="1:26" ht="16.8" customHeight="true">
      <c r="A288" s="41" t="s">
        <v>987</v>
      </c>
      <c r="B288" s="30" t="s">
        <v>988</v>
      </c>
      <c r="C288" s="30" t="s">
        <v>165</v>
      </c>
      <c r="D288" s="30" t="s"/>
      <c r="E288" s="31" t="s">
        <v>989</v>
      </c>
      <c r="F288" s="22" t="s"/>
      <c r="G288" s="22" t="s"/>
      <c r="H288" s="22" t="s"/>
      <c r="I288" s="22" t="s"/>
      <c r="J288" s="22" t="s"/>
      <c r="K288" s="22" t="s"/>
      <c r="L288" s="22" t="s"/>
      <c r="M288" s="22" t="s"/>
      <c r="N288" s="22" t="s"/>
      <c r="O288" s="22" t="s"/>
      <c r="P288" s="22" t="s"/>
      <c r="Q288" s="22" t="s"/>
      <c r="R288" s="22" t="s"/>
      <c r="S288" s="22" t="s"/>
      <c r="T288" s="22" t="s"/>
      <c r="U288" s="22" t="s"/>
      <c r="V288" s="22" t="s"/>
      <c r="W288" s="22" t="s"/>
      <c r="X288" s="22" t="s"/>
      <c r="Y288" s="22" t="s"/>
      <c r="Z288" s="22" t="s"/>
    </row>
    <row r="289" spans="1:26" ht="16.8" customHeight="true">
      <c r="A289" s="41" t="s">
        <v>990</v>
      </c>
      <c r="B289" s="30" t="s">
        <v>991</v>
      </c>
      <c r="C289" s="30" t="s">
        <v>165</v>
      </c>
      <c r="D289" s="30" t="s"/>
      <c r="E289" s="31" t="s">
        <v>992</v>
      </c>
      <c r="F289" s="22" t="s"/>
      <c r="G289" s="22" t="s"/>
      <c r="H289" s="22" t="s"/>
      <c r="I289" s="22" t="s"/>
      <c r="J289" s="22" t="s"/>
      <c r="K289" s="22" t="s"/>
      <c r="L289" s="22" t="s"/>
      <c r="M289" s="22" t="s"/>
      <c r="N289" s="22" t="s"/>
      <c r="O289" s="22" t="s"/>
      <c r="P289" s="22" t="s"/>
      <c r="Q289" s="22" t="s"/>
      <c r="R289" s="22" t="s"/>
      <c r="S289" s="22" t="s"/>
      <c r="T289" s="22" t="s"/>
      <c r="U289" s="22" t="s"/>
      <c r="V289" s="22" t="s"/>
      <c r="W289" s="22" t="s"/>
      <c r="X289" s="22" t="s"/>
      <c r="Y289" s="22" t="s"/>
      <c r="Z289" s="22" t="s"/>
    </row>
    <row r="290" spans="1:26" ht="16.8" customHeight="true">
      <c r="A290" s="41" t="s">
        <v>993</v>
      </c>
      <c r="B290" s="30" t="s">
        <v>994</v>
      </c>
      <c r="C290" s="30" t="s">
        <v>165</v>
      </c>
      <c r="D290" s="30" t="s"/>
      <c r="E290" s="31" t="s">
        <v>995</v>
      </c>
      <c r="F290" s="22" t="s"/>
      <c r="G290" s="22" t="s"/>
      <c r="H290" s="22" t="s"/>
      <c r="I290" s="22" t="s"/>
      <c r="J290" s="22" t="s"/>
      <c r="K290" s="22" t="s"/>
      <c r="L290" s="22" t="s"/>
      <c r="M290" s="22" t="s"/>
      <c r="N290" s="22" t="s"/>
      <c r="O290" s="22" t="s"/>
      <c r="P290" s="22" t="s"/>
      <c r="Q290" s="22" t="s"/>
      <c r="R290" s="22" t="s"/>
      <c r="S290" s="22" t="s"/>
      <c r="T290" s="22" t="s"/>
      <c r="U290" s="22" t="s"/>
      <c r="V290" s="22" t="s"/>
      <c r="W290" s="22" t="s"/>
      <c r="X290" s="22" t="s"/>
      <c r="Y290" s="22" t="s"/>
      <c r="Z290" s="22" t="s"/>
    </row>
    <row r="291" spans="1:26" ht="16.8" customHeight="true">
      <c r="A291" s="41" t="s">
        <v>996</v>
      </c>
      <c r="B291" s="30" t="s">
        <v>997</v>
      </c>
      <c r="C291" s="30" t="s">
        <v>165</v>
      </c>
      <c r="D291" s="30" t="s"/>
      <c r="E291" s="31" t="s">
        <v>998</v>
      </c>
      <c r="F291" s="22" t="s"/>
      <c r="G291" s="22" t="s"/>
      <c r="H291" s="22" t="s"/>
      <c r="I291" s="22" t="s"/>
      <c r="J291" s="22" t="s"/>
      <c r="K291" s="22" t="s"/>
      <c r="L291" s="22" t="s"/>
      <c r="M291" s="22" t="s"/>
      <c r="N291" s="22" t="s"/>
      <c r="O291" s="22" t="s"/>
      <c r="P291" s="22" t="s"/>
      <c r="Q291" s="22" t="s"/>
      <c r="R291" s="22" t="s"/>
      <c r="S291" s="22" t="s"/>
      <c r="T291" s="22" t="s"/>
      <c r="U291" s="22" t="s"/>
      <c r="V291" s="22" t="s"/>
      <c r="W291" s="22" t="s"/>
      <c r="X291" s="22" t="s"/>
      <c r="Y291" s="22" t="s"/>
      <c r="Z291" s="22" t="s"/>
    </row>
    <row r="292" spans="1:26" ht="16.8" customHeight="true">
      <c r="A292" s="41" t="s">
        <v>215</v>
      </c>
      <c r="B292" s="30" t="s">
        <v>216</v>
      </c>
      <c r="C292" s="30" t="s">
        <v>165</v>
      </c>
      <c r="D292" s="30" t="s"/>
      <c r="E292" s="31" t="s">
        <v>999</v>
      </c>
      <c r="F292" s="22" t="s"/>
      <c r="G292" s="22" t="s"/>
      <c r="H292" s="22" t="s"/>
      <c r="I292" s="22" t="s"/>
      <c r="J292" s="22" t="s"/>
      <c r="K292" s="22" t="s"/>
      <c r="L292" s="22" t="s"/>
      <c r="M292" s="22" t="s"/>
      <c r="N292" s="22" t="s"/>
      <c r="O292" s="22" t="s"/>
      <c r="P292" s="22" t="s"/>
      <c r="Q292" s="22" t="s"/>
      <c r="R292" s="22" t="s"/>
      <c r="S292" s="22" t="s"/>
      <c r="T292" s="22" t="s"/>
      <c r="U292" s="22" t="s"/>
      <c r="V292" s="22" t="s"/>
      <c r="W292" s="22" t="s"/>
      <c r="X292" s="22" t="s"/>
      <c r="Y292" s="22" t="s"/>
      <c r="Z292" s="22" t="s"/>
    </row>
    <row r="293" spans="1:26" ht="16.8" customHeight="true">
      <c r="A293" s="41" t="s">
        <v>1000</v>
      </c>
      <c r="B293" s="30" t="s">
        <v>1001</v>
      </c>
      <c r="C293" s="30" t="s">
        <v>165</v>
      </c>
      <c r="D293" s="30" t="s">
        <v>153</v>
      </c>
      <c r="E293" s="31" t="s">
        <v>1002</v>
      </c>
      <c r="F293" s="22" t="s"/>
      <c r="G293" s="22" t="s"/>
      <c r="H293" s="22" t="s"/>
      <c r="I293" s="22" t="s"/>
      <c r="J293" s="22" t="s"/>
      <c r="K293" s="22" t="s"/>
      <c r="L293" s="22" t="s"/>
      <c r="M293" s="22" t="s"/>
      <c r="N293" s="22" t="s"/>
      <c r="O293" s="22" t="s"/>
      <c r="P293" s="22" t="s"/>
      <c r="Q293" s="22" t="s"/>
      <c r="R293" s="22" t="s"/>
      <c r="S293" s="22" t="s"/>
      <c r="T293" s="22" t="s"/>
      <c r="U293" s="22" t="s"/>
      <c r="V293" s="22" t="s"/>
      <c r="W293" s="22" t="s"/>
      <c r="X293" s="22" t="s"/>
      <c r="Y293" s="22" t="s"/>
      <c r="Z293" s="22" t="s"/>
    </row>
    <row r="294" spans="1:26" ht="16.8" customHeight="true">
      <c r="A294" s="41" t="s">
        <v>1003</v>
      </c>
      <c r="B294" s="30" t="s">
        <v>1004</v>
      </c>
      <c r="C294" s="30" t="s">
        <v>165</v>
      </c>
      <c r="D294" s="30" t="s"/>
      <c r="E294" s="31" t="s">
        <v>1005</v>
      </c>
      <c r="F294" s="22" t="s"/>
      <c r="G294" s="22" t="s"/>
      <c r="H294" s="22" t="s"/>
      <c r="I294" s="22" t="s"/>
      <c r="J294" s="22" t="s"/>
      <c r="K294" s="22" t="s"/>
      <c r="L294" s="22" t="s"/>
      <c r="M294" s="22" t="s"/>
      <c r="N294" s="22" t="s"/>
      <c r="O294" s="22" t="s"/>
      <c r="P294" s="22" t="s"/>
      <c r="Q294" s="22" t="s"/>
      <c r="R294" s="22" t="s"/>
      <c r="S294" s="22" t="s"/>
      <c r="T294" s="22" t="s"/>
      <c r="U294" s="22" t="s"/>
      <c r="V294" s="22" t="s"/>
      <c r="W294" s="22" t="s"/>
      <c r="X294" s="22" t="s"/>
      <c r="Y294" s="22" t="s"/>
      <c r="Z294" s="22" t="s"/>
    </row>
    <row r="295" spans="1:26" ht="16.8" customHeight="true">
      <c r="A295" s="41" t="s">
        <v>1006</v>
      </c>
      <c r="B295" s="30" t="s">
        <v>1007</v>
      </c>
      <c r="C295" s="30" t="s">
        <v>165</v>
      </c>
      <c r="D295" s="30" t="s">
        <v>170</v>
      </c>
      <c r="E295" s="31" t="s">
        <v>1008</v>
      </c>
      <c r="F295" s="22" t="s"/>
      <c r="G295" s="22" t="s"/>
      <c r="H295" s="22" t="s"/>
      <c r="I295" s="22" t="s"/>
      <c r="J295" s="22" t="s"/>
      <c r="K295" s="22" t="s"/>
      <c r="L295" s="22" t="s"/>
      <c r="M295" s="22" t="s"/>
      <c r="N295" s="22" t="s"/>
      <c r="O295" s="22" t="s"/>
      <c r="P295" s="22" t="s"/>
      <c r="Q295" s="22" t="s"/>
      <c r="R295" s="22" t="s"/>
      <c r="S295" s="22" t="s"/>
      <c r="T295" s="22" t="s"/>
      <c r="U295" s="22" t="s"/>
      <c r="V295" s="22" t="s"/>
      <c r="W295" s="22" t="s"/>
      <c r="X295" s="22" t="s"/>
      <c r="Y295" s="22" t="s"/>
      <c r="Z295" s="22" t="s"/>
    </row>
    <row r="296" spans="1:26" ht="16.8" customHeight="true">
      <c r="A296" s="41" t="s">
        <v>1009</v>
      </c>
      <c r="B296" s="30" t="s">
        <v>1010</v>
      </c>
      <c r="C296" s="30" t="s">
        <v>236</v>
      </c>
      <c r="D296" s="30" t="s">
        <v>170</v>
      </c>
      <c r="E296" s="31" t="s">
        <v>1011</v>
      </c>
      <c r="F296" s="22" t="s"/>
      <c r="G296" s="22" t="s"/>
      <c r="H296" s="22" t="s"/>
      <c r="I296" s="22" t="s"/>
      <c r="J296" s="22" t="s"/>
      <c r="K296" s="22" t="s"/>
      <c r="L296" s="22" t="s"/>
      <c r="M296" s="22" t="s"/>
      <c r="N296" s="22" t="s"/>
      <c r="O296" s="22" t="s"/>
      <c r="P296" s="22" t="s"/>
      <c r="Q296" s="22" t="s"/>
      <c r="R296" s="22" t="s"/>
      <c r="S296" s="22" t="s"/>
      <c r="T296" s="22" t="s"/>
      <c r="U296" s="22" t="s"/>
      <c r="V296" s="22" t="s"/>
      <c r="W296" s="22" t="s"/>
      <c r="X296" s="22" t="s"/>
      <c r="Y296" s="22" t="s"/>
      <c r="Z296" s="22" t="s"/>
    </row>
    <row r="297" spans="1:26" ht="16.8" customHeight="true">
      <c r="A297" s="41" t="s">
        <v>1012</v>
      </c>
      <c r="B297" s="30" t="s">
        <v>1013</v>
      </c>
      <c r="C297" s="30" t="s">
        <v>165</v>
      </c>
      <c r="D297" s="30" t="s"/>
      <c r="E297" s="31" t="s">
        <v>1014</v>
      </c>
      <c r="F297" s="22" t="s"/>
      <c r="G297" s="22" t="s"/>
      <c r="H297" s="22" t="s"/>
      <c r="I297" s="22" t="s"/>
      <c r="J297" s="22" t="s"/>
      <c r="K297" s="22" t="s"/>
      <c r="L297" s="22" t="s"/>
      <c r="M297" s="22" t="s"/>
      <c r="N297" s="22" t="s"/>
      <c r="O297" s="22" t="s"/>
      <c r="P297" s="22" t="s"/>
      <c r="Q297" s="22" t="s"/>
      <c r="R297" s="22" t="s"/>
      <c r="S297" s="22" t="s"/>
      <c r="T297" s="22" t="s"/>
      <c r="U297" s="22" t="s"/>
      <c r="V297" s="22" t="s"/>
      <c r="W297" s="22" t="s"/>
      <c r="X297" s="22" t="s"/>
      <c r="Y297" s="22" t="s"/>
      <c r="Z297" s="22" t="s"/>
    </row>
    <row r="298" spans="1:26" ht="16.8" customHeight="true">
      <c r="A298" s="41" t="s">
        <v>1015</v>
      </c>
      <c r="B298" s="30" t="s">
        <v>1016</v>
      </c>
      <c r="C298" s="30" t="s">
        <v>165</v>
      </c>
      <c r="D298" s="30" t="s"/>
      <c r="E298" s="31" t="s">
        <v>1017</v>
      </c>
      <c r="F298" s="22" t="s"/>
      <c r="G298" s="22" t="s"/>
      <c r="H298" s="22" t="s"/>
      <c r="I298" s="22" t="s"/>
      <c r="J298" s="22" t="s"/>
      <c r="K298" s="22" t="s"/>
      <c r="L298" s="22" t="s"/>
      <c r="M298" s="22" t="s"/>
      <c r="N298" s="22" t="s"/>
      <c r="O298" s="22" t="s"/>
      <c r="P298" s="22" t="s"/>
      <c r="Q298" s="22" t="s"/>
      <c r="R298" s="22" t="s"/>
      <c r="S298" s="22" t="s"/>
      <c r="T298" s="22" t="s"/>
      <c r="U298" s="22" t="s"/>
      <c r="V298" s="22" t="s"/>
      <c r="W298" s="22" t="s"/>
      <c r="X298" s="22" t="s"/>
      <c r="Y298" s="22" t="s"/>
      <c r="Z298" s="22" t="s"/>
    </row>
    <row r="299" spans="1:26" ht="16.8" customHeight="true">
      <c r="A299" s="41" t="s">
        <v>1018</v>
      </c>
      <c r="B299" s="30" t="s">
        <v>182</v>
      </c>
      <c r="C299" s="30" t="s">
        <v>165</v>
      </c>
      <c r="D299" s="30" t="s"/>
      <c r="E299" s="31" t="s">
        <v>1019</v>
      </c>
      <c r="F299" s="22" t="s"/>
      <c r="G299" s="22" t="s"/>
      <c r="H299" s="22" t="s"/>
      <c r="I299" s="22" t="s"/>
      <c r="J299" s="22" t="s"/>
      <c r="K299" s="22" t="s"/>
      <c r="L299" s="22" t="s"/>
      <c r="M299" s="22" t="s"/>
      <c r="N299" s="22" t="s"/>
      <c r="O299" s="22" t="s"/>
      <c r="P299" s="22" t="s"/>
      <c r="Q299" s="22" t="s"/>
      <c r="R299" s="22" t="s"/>
      <c r="S299" s="22" t="s"/>
      <c r="T299" s="22" t="s"/>
      <c r="U299" s="22" t="s"/>
      <c r="V299" s="22" t="s"/>
      <c r="W299" s="22" t="s"/>
      <c r="X299" s="22" t="s"/>
      <c r="Y299" s="22" t="s"/>
      <c r="Z299" s="22" t="s"/>
    </row>
    <row r="300" spans="1:26" ht="16.8" customHeight="true">
      <c r="A300" s="41" t="s">
        <v>1020</v>
      </c>
      <c r="B300" s="30" t="s">
        <v>1021</v>
      </c>
      <c r="C300" s="30" t="s">
        <v>165</v>
      </c>
      <c r="D300" s="30" t="s"/>
      <c r="E300" s="31" t="s">
        <v>1022</v>
      </c>
      <c r="F300" s="22" t="s"/>
      <c r="G300" s="22" t="s"/>
      <c r="H300" s="22" t="s"/>
      <c r="I300" s="22" t="s"/>
      <c r="J300" s="22" t="s"/>
      <c r="K300" s="22" t="s"/>
      <c r="L300" s="22" t="s"/>
      <c r="M300" s="22" t="s"/>
      <c r="N300" s="22" t="s"/>
      <c r="O300" s="22" t="s"/>
      <c r="P300" s="22" t="s"/>
      <c r="Q300" s="22" t="s"/>
      <c r="R300" s="22" t="s"/>
      <c r="S300" s="22" t="s"/>
      <c r="T300" s="22" t="s"/>
      <c r="U300" s="22" t="s"/>
      <c r="V300" s="22" t="s"/>
      <c r="W300" s="22" t="s"/>
      <c r="X300" s="22" t="s"/>
      <c r="Y300" s="22" t="s"/>
      <c r="Z300" s="22" t="s"/>
    </row>
    <row r="301" spans="1:26" ht="16.8" customHeight="true">
      <c r="A301" s="41" t="s">
        <v>1023</v>
      </c>
      <c r="B301" s="30" t="s">
        <v>1024</v>
      </c>
      <c r="C301" s="30" t="s">
        <v>165</v>
      </c>
      <c r="D301" s="30" t="s"/>
      <c r="E301" s="31" t="s">
        <v>1025</v>
      </c>
      <c r="F301" s="22" t="s"/>
      <c r="G301" s="22" t="s"/>
      <c r="H301" s="22" t="s"/>
      <c r="I301" s="22" t="s"/>
      <c r="J301" s="22" t="s"/>
      <c r="K301" s="22" t="s"/>
      <c r="L301" s="22" t="s"/>
      <c r="M301" s="22" t="s"/>
      <c r="N301" s="22" t="s"/>
      <c r="O301" s="22" t="s"/>
      <c r="P301" s="22" t="s"/>
      <c r="Q301" s="22" t="s"/>
      <c r="R301" s="22" t="s"/>
      <c r="S301" s="22" t="s"/>
      <c r="T301" s="22" t="s"/>
      <c r="U301" s="22" t="s"/>
      <c r="V301" s="22" t="s"/>
      <c r="W301" s="22" t="s"/>
      <c r="X301" s="22" t="s"/>
      <c r="Y301" s="22" t="s"/>
      <c r="Z301" s="22" t="s"/>
    </row>
    <row r="302" spans="1:26" ht="16.8" customHeight="true">
      <c r="A302" s="41" t="s">
        <v>1026</v>
      </c>
      <c r="B302" s="30" t="s">
        <v>1027</v>
      </c>
      <c r="C302" s="30" t="s">
        <v>165</v>
      </c>
      <c r="D302" s="30" t="s"/>
      <c r="E302" s="31" t="s">
        <v>1028</v>
      </c>
      <c r="F302" s="22" t="s"/>
      <c r="G302" s="22" t="s"/>
      <c r="H302" s="22" t="s"/>
      <c r="I302" s="22" t="s"/>
      <c r="J302" s="22" t="s"/>
      <c r="K302" s="22" t="s"/>
      <c r="L302" s="22" t="s"/>
      <c r="M302" s="22" t="s"/>
      <c r="N302" s="22" t="s"/>
      <c r="O302" s="22" t="s"/>
      <c r="P302" s="22" t="s"/>
      <c r="Q302" s="22" t="s"/>
      <c r="R302" s="22" t="s"/>
      <c r="S302" s="22" t="s"/>
      <c r="T302" s="22" t="s"/>
      <c r="U302" s="22" t="s"/>
      <c r="V302" s="22" t="s"/>
      <c r="W302" s="22" t="s"/>
      <c r="X302" s="22" t="s"/>
      <c r="Y302" s="22" t="s"/>
      <c r="Z302" s="22" t="s"/>
    </row>
    <row r="303" spans="1:26" ht="16.8" customHeight="true">
      <c r="A303" s="41" t="s">
        <v>1029</v>
      </c>
      <c r="B303" s="30" t="s">
        <v>1030</v>
      </c>
      <c r="C303" s="30" t="s">
        <v>165</v>
      </c>
      <c r="D303" s="30" t="s"/>
      <c r="E303" s="31" t="s">
        <v>1031</v>
      </c>
      <c r="F303" s="22" t="s"/>
      <c r="G303" s="22" t="s"/>
      <c r="H303" s="22" t="s"/>
      <c r="I303" s="22" t="s"/>
      <c r="J303" s="22" t="s"/>
      <c r="K303" s="22" t="s"/>
      <c r="L303" s="22" t="s"/>
      <c r="M303" s="22" t="s"/>
      <c r="N303" s="22" t="s"/>
      <c r="O303" s="22" t="s"/>
      <c r="P303" s="22" t="s"/>
      <c r="Q303" s="22" t="s"/>
      <c r="R303" s="22" t="s"/>
      <c r="S303" s="22" t="s"/>
      <c r="T303" s="22" t="s"/>
      <c r="U303" s="22" t="s"/>
      <c r="V303" s="22" t="s"/>
      <c r="W303" s="22" t="s"/>
      <c r="X303" s="22" t="s"/>
      <c r="Y303" s="22" t="s"/>
      <c r="Z303" s="22" t="s"/>
    </row>
    <row r="304" spans="1:26" ht="16.8" customHeight="true">
      <c r="A304" s="41" t="s">
        <v>1032</v>
      </c>
      <c r="B304" s="30" t="s">
        <v>1033</v>
      </c>
      <c r="C304" s="30" t="s">
        <v>165</v>
      </c>
      <c r="D304" s="30" t="s"/>
      <c r="E304" s="31" t="s">
        <v>1034</v>
      </c>
      <c r="F304" s="22" t="s"/>
      <c r="G304" s="22" t="s"/>
      <c r="H304" s="22" t="s"/>
      <c r="I304" s="22" t="s"/>
      <c r="J304" s="22" t="s"/>
      <c r="K304" s="22" t="s"/>
      <c r="L304" s="22" t="s"/>
      <c r="M304" s="22" t="s"/>
      <c r="N304" s="22" t="s"/>
      <c r="O304" s="22" t="s"/>
      <c r="P304" s="22" t="s"/>
      <c r="Q304" s="22" t="s"/>
      <c r="R304" s="22" t="s"/>
      <c r="S304" s="22" t="s"/>
      <c r="T304" s="22" t="s"/>
      <c r="U304" s="22" t="s"/>
      <c r="V304" s="22" t="s"/>
      <c r="W304" s="22" t="s"/>
      <c r="X304" s="22" t="s"/>
      <c r="Y304" s="22" t="s"/>
      <c r="Z304" s="22" t="s"/>
    </row>
    <row r="305" spans="1:26" ht="16.8" customHeight="true">
      <c r="A305" s="41" t="s">
        <v>1035</v>
      </c>
      <c r="B305" s="30" t="s">
        <v>1036</v>
      </c>
      <c r="C305" s="30" t="s">
        <v>263</v>
      </c>
      <c r="D305" s="30" t="s">
        <v>170</v>
      </c>
      <c r="E305" s="31" t="s">
        <v>1037</v>
      </c>
      <c r="F305" s="22" t="s"/>
      <c r="G305" s="22" t="s"/>
      <c r="H305" s="22" t="s"/>
      <c r="I305" s="22" t="s"/>
      <c r="J305" s="22" t="s"/>
      <c r="K305" s="22" t="s"/>
      <c r="L305" s="22" t="s"/>
      <c r="M305" s="22" t="s"/>
      <c r="N305" s="22" t="s"/>
      <c r="O305" s="22" t="s"/>
      <c r="P305" s="22" t="s"/>
      <c r="Q305" s="22" t="s"/>
      <c r="R305" s="22" t="s"/>
      <c r="S305" s="22" t="s"/>
      <c r="T305" s="22" t="s"/>
      <c r="U305" s="22" t="s"/>
      <c r="V305" s="22" t="s"/>
      <c r="W305" s="22" t="s"/>
      <c r="X305" s="22" t="s"/>
      <c r="Y305" s="22" t="s"/>
      <c r="Z305" s="22" t="s"/>
    </row>
    <row r="306" spans="1:26" ht="16.8" customHeight="true">
      <c r="A306" s="41" t="s">
        <v>1038</v>
      </c>
      <c r="B306" s="30" t="s">
        <v>1039</v>
      </c>
      <c r="C306" s="30" t="s">
        <v>382</v>
      </c>
      <c r="D306" s="30" t="s">
        <v>148</v>
      </c>
      <c r="E306" s="31" t="s">
        <v>1040</v>
      </c>
      <c r="F306" s="22" t="s"/>
      <c r="G306" s="22" t="s"/>
      <c r="H306" s="22" t="s"/>
      <c r="I306" s="22" t="s"/>
      <c r="J306" s="22" t="s"/>
      <c r="K306" s="22" t="s"/>
      <c r="L306" s="22" t="s"/>
      <c r="M306" s="22" t="s"/>
      <c r="N306" s="22" t="s"/>
      <c r="O306" s="22" t="s"/>
      <c r="P306" s="22" t="s"/>
      <c r="Q306" s="22" t="s"/>
      <c r="R306" s="22" t="s"/>
      <c r="S306" s="22" t="s"/>
      <c r="T306" s="22" t="s"/>
      <c r="U306" s="22" t="s"/>
      <c r="V306" s="22" t="s"/>
      <c r="W306" s="22" t="s"/>
      <c r="X306" s="22" t="s"/>
      <c r="Y306" s="22" t="s"/>
      <c r="Z306" s="22" t="s"/>
    </row>
    <row r="307" spans="1:26" ht="16.8" customHeight="true">
      <c r="A307" s="41" t="s">
        <v>1041</v>
      </c>
      <c r="B307" s="30" t="s">
        <v>1042</v>
      </c>
      <c r="C307" s="30" t="s">
        <v>165</v>
      </c>
      <c r="D307" s="30" t="s">
        <v>153</v>
      </c>
      <c r="E307" s="31" t="s">
        <v>1043</v>
      </c>
      <c r="F307" s="22" t="s"/>
      <c r="G307" s="22" t="s"/>
      <c r="H307" s="22" t="s"/>
      <c r="I307" s="22" t="s"/>
      <c r="J307" s="22" t="s"/>
      <c r="K307" s="22" t="s"/>
      <c r="L307" s="22" t="s"/>
      <c r="M307" s="22" t="s"/>
      <c r="N307" s="22" t="s"/>
      <c r="O307" s="22" t="s"/>
      <c r="P307" s="22" t="s"/>
      <c r="Q307" s="22" t="s"/>
      <c r="R307" s="22" t="s"/>
      <c r="S307" s="22" t="s"/>
      <c r="T307" s="22" t="s"/>
      <c r="U307" s="22" t="s"/>
      <c r="V307" s="22" t="s"/>
      <c r="W307" s="22" t="s"/>
      <c r="X307" s="22" t="s"/>
      <c r="Y307" s="22" t="s"/>
      <c r="Z307" s="22" t="s"/>
    </row>
    <row r="308" spans="1:26" ht="16.8" customHeight="true">
      <c r="A308" s="41" t="s">
        <v>1044</v>
      </c>
      <c r="B308" s="30" t="s">
        <v>1045</v>
      </c>
      <c r="C308" s="30" t="s">
        <v>165</v>
      </c>
      <c r="D308" s="30" t="s"/>
      <c r="E308" s="31" t="s">
        <v>1046</v>
      </c>
      <c r="F308" s="22" t="s"/>
      <c r="G308" s="22" t="s"/>
      <c r="H308" s="22" t="s"/>
      <c r="I308" s="22" t="s"/>
      <c r="J308" s="22" t="s"/>
      <c r="K308" s="22" t="s"/>
      <c r="L308" s="22" t="s"/>
      <c r="M308" s="22" t="s"/>
      <c r="N308" s="22" t="s"/>
      <c r="O308" s="22" t="s"/>
      <c r="P308" s="22" t="s"/>
      <c r="Q308" s="22" t="s"/>
      <c r="R308" s="22" t="s"/>
      <c r="S308" s="22" t="s"/>
      <c r="T308" s="22" t="s"/>
      <c r="U308" s="22" t="s"/>
      <c r="V308" s="22" t="s"/>
      <c r="W308" s="22" t="s"/>
      <c r="X308" s="22" t="s"/>
      <c r="Y308" s="22" t="s"/>
      <c r="Z308" s="22" t="s"/>
    </row>
    <row r="309" spans="1:26" ht="16.8" customHeight="true">
      <c r="A309" s="41" t="s">
        <v>1047</v>
      </c>
      <c r="B309" s="30" t="s">
        <v>1048</v>
      </c>
      <c r="C309" s="30" t="s">
        <v>165</v>
      </c>
      <c r="D309" s="30" t="s"/>
      <c r="E309" s="31" t="s">
        <v>1049</v>
      </c>
      <c r="F309" s="22" t="s"/>
      <c r="G309" s="22" t="s"/>
      <c r="H309" s="22" t="s"/>
      <c r="I309" s="22" t="s"/>
      <c r="J309" s="22" t="s"/>
      <c r="K309" s="22" t="s"/>
      <c r="L309" s="22" t="s"/>
      <c r="M309" s="22" t="s"/>
      <c r="N309" s="22" t="s"/>
      <c r="O309" s="22" t="s"/>
      <c r="P309" s="22" t="s"/>
      <c r="Q309" s="22" t="s"/>
      <c r="R309" s="22" t="s"/>
      <c r="S309" s="22" t="s"/>
      <c r="T309" s="22" t="s"/>
      <c r="U309" s="22" t="s"/>
      <c r="V309" s="22" t="s"/>
      <c r="W309" s="22" t="s"/>
      <c r="X309" s="22" t="s"/>
      <c r="Y309" s="22" t="s"/>
      <c r="Z309" s="22" t="s"/>
    </row>
    <row r="310" spans="1:26" ht="16.8" customHeight="true">
      <c r="A310" s="41" t="s">
        <v>1050</v>
      </c>
      <c r="B310" s="30" t="s">
        <v>1051</v>
      </c>
      <c r="C310" s="30" t="s">
        <v>165</v>
      </c>
      <c r="D310" s="30" t="s"/>
      <c r="E310" s="31" t="s">
        <v>1052</v>
      </c>
      <c r="F310" s="22" t="s"/>
      <c r="G310" s="22" t="s"/>
      <c r="H310" s="22" t="s"/>
      <c r="I310" s="22" t="s"/>
      <c r="J310" s="22" t="s"/>
      <c r="K310" s="22" t="s"/>
      <c r="L310" s="22" t="s"/>
      <c r="M310" s="22" t="s"/>
      <c r="N310" s="22" t="s"/>
      <c r="O310" s="22" t="s"/>
      <c r="P310" s="22" t="s"/>
      <c r="Q310" s="22" t="s"/>
      <c r="R310" s="22" t="s"/>
      <c r="S310" s="22" t="s"/>
      <c r="T310" s="22" t="s"/>
      <c r="U310" s="22" t="s"/>
      <c r="V310" s="22" t="s"/>
      <c r="W310" s="22" t="s"/>
      <c r="X310" s="22" t="s"/>
      <c r="Y310" s="22" t="s"/>
      <c r="Z310" s="22" t="s"/>
    </row>
    <row r="311" spans="1:26" ht="16.8" customHeight="true">
      <c r="A311" s="41" t="s">
        <v>1053</v>
      </c>
      <c r="B311" s="30" t="s">
        <v>1048</v>
      </c>
      <c r="C311" s="30" t="s">
        <v>165</v>
      </c>
      <c r="D311" s="30" t="s"/>
      <c r="E311" s="31" t="s">
        <v>1054</v>
      </c>
      <c r="F311" s="22" t="s"/>
      <c r="G311" s="22" t="s"/>
      <c r="H311" s="22" t="s"/>
      <c r="I311" s="22" t="s"/>
      <c r="J311" s="22" t="s"/>
      <c r="K311" s="22" t="s"/>
      <c r="L311" s="22" t="s"/>
      <c r="M311" s="22" t="s"/>
      <c r="N311" s="22" t="s"/>
      <c r="O311" s="22" t="s"/>
      <c r="P311" s="22" t="s"/>
      <c r="Q311" s="22" t="s"/>
      <c r="R311" s="22" t="s"/>
      <c r="S311" s="22" t="s"/>
      <c r="T311" s="22" t="s"/>
      <c r="U311" s="22" t="s"/>
      <c r="V311" s="22" t="s"/>
      <c r="W311" s="22" t="s"/>
      <c r="X311" s="22" t="s"/>
      <c r="Y311" s="22" t="s"/>
      <c r="Z311" s="22" t="s"/>
    </row>
    <row r="312" spans="1:26" ht="16.8" customHeight="true">
      <c r="A312" s="41" t="s">
        <v>1055</v>
      </c>
      <c r="B312" s="30" t="s">
        <v>1056</v>
      </c>
      <c r="C312" s="30" t="s">
        <v>165</v>
      </c>
      <c r="D312" s="30" t="s"/>
      <c r="E312" s="31" t="s">
        <v>1057</v>
      </c>
      <c r="F312" s="22" t="s"/>
      <c r="G312" s="22" t="s"/>
      <c r="H312" s="22" t="s"/>
      <c r="I312" s="22" t="s"/>
      <c r="J312" s="22" t="s"/>
      <c r="K312" s="22" t="s"/>
      <c r="L312" s="22" t="s"/>
      <c r="M312" s="22" t="s"/>
      <c r="N312" s="22" t="s"/>
      <c r="O312" s="22" t="s"/>
      <c r="P312" s="22" t="s"/>
      <c r="Q312" s="22" t="s"/>
      <c r="R312" s="22" t="s"/>
      <c r="S312" s="22" t="s"/>
      <c r="T312" s="22" t="s"/>
      <c r="U312" s="22" t="s"/>
      <c r="V312" s="22" t="s"/>
      <c r="W312" s="22" t="s"/>
      <c r="X312" s="22" t="s"/>
      <c r="Y312" s="22" t="s"/>
      <c r="Z312" s="22" t="s"/>
    </row>
    <row r="313" spans="1:26" ht="16.8" customHeight="true">
      <c r="A313" s="41" t="s">
        <v>1058</v>
      </c>
      <c r="B313" s="30" t="s">
        <v>1059</v>
      </c>
      <c r="C313" s="30" t="s">
        <v>165</v>
      </c>
      <c r="D313" s="30" t="s"/>
      <c r="E313" s="31" t="s">
        <v>1060</v>
      </c>
      <c r="F313" s="22" t="s"/>
      <c r="G313" s="22" t="s"/>
      <c r="H313" s="22" t="s"/>
      <c r="I313" s="22" t="s"/>
      <c r="J313" s="22" t="s"/>
      <c r="K313" s="22" t="s"/>
      <c r="L313" s="22" t="s"/>
      <c r="M313" s="22" t="s"/>
      <c r="N313" s="22" t="s"/>
      <c r="O313" s="22" t="s"/>
      <c r="P313" s="22" t="s"/>
      <c r="Q313" s="22" t="s"/>
      <c r="R313" s="22" t="s"/>
      <c r="S313" s="22" t="s"/>
      <c r="T313" s="22" t="s"/>
      <c r="U313" s="22" t="s"/>
      <c r="V313" s="22" t="s"/>
      <c r="W313" s="22" t="s"/>
      <c r="X313" s="22" t="s"/>
      <c r="Y313" s="22" t="s"/>
      <c r="Z313" s="22" t="s"/>
    </row>
    <row r="314" spans="1:26" ht="16.8" customHeight="true">
      <c r="A314" s="41" t="s">
        <v>808</v>
      </c>
      <c r="B314" s="30" t="s">
        <v>809</v>
      </c>
      <c r="C314" s="30" t="s">
        <v>165</v>
      </c>
      <c r="D314" s="30" t="s"/>
      <c r="E314" s="31" t="s">
        <v>1061</v>
      </c>
      <c r="F314" s="22" t="s"/>
      <c r="G314" s="22" t="s"/>
      <c r="H314" s="22" t="s"/>
      <c r="I314" s="22" t="s"/>
      <c r="J314" s="22" t="s"/>
      <c r="K314" s="22" t="s"/>
      <c r="L314" s="22" t="s"/>
      <c r="M314" s="22" t="s"/>
      <c r="N314" s="22" t="s"/>
      <c r="O314" s="22" t="s"/>
      <c r="P314" s="22" t="s"/>
      <c r="Q314" s="22" t="s"/>
      <c r="R314" s="22" t="s"/>
      <c r="S314" s="22" t="s"/>
      <c r="T314" s="22" t="s"/>
      <c r="U314" s="22" t="s"/>
      <c r="V314" s="22" t="s"/>
      <c r="W314" s="22" t="s"/>
      <c r="X314" s="22" t="s"/>
      <c r="Y314" s="22" t="s"/>
      <c r="Z314" s="22" t="s"/>
    </row>
    <row r="315" spans="1:26" ht="16.8" customHeight="true">
      <c r="A315" s="41" t="s">
        <v>1062</v>
      </c>
      <c r="B315" s="30" t="s">
        <v>1063</v>
      </c>
      <c r="C315" s="30" t="s">
        <v>165</v>
      </c>
      <c r="D315" s="30" t="s"/>
      <c r="E315" s="31" t="s">
        <v>1064</v>
      </c>
      <c r="F315" s="22" t="s"/>
      <c r="G315" s="22" t="s"/>
      <c r="H315" s="22" t="s"/>
      <c r="I315" s="22" t="s"/>
      <c r="J315" s="22" t="s"/>
      <c r="K315" s="22" t="s"/>
      <c r="L315" s="22" t="s"/>
      <c r="M315" s="22" t="s"/>
      <c r="N315" s="22" t="s"/>
      <c r="O315" s="22" t="s"/>
      <c r="P315" s="22" t="s"/>
      <c r="Q315" s="22" t="s"/>
      <c r="R315" s="22" t="s"/>
      <c r="S315" s="22" t="s"/>
      <c r="T315" s="22" t="s"/>
      <c r="U315" s="22" t="s"/>
      <c r="V315" s="22" t="s"/>
      <c r="W315" s="22" t="s"/>
      <c r="X315" s="22" t="s"/>
      <c r="Y315" s="22" t="s"/>
      <c r="Z315" s="22" t="s"/>
    </row>
    <row r="316" spans="1:26" ht="16.8" customHeight="true">
      <c r="A316" s="41" t="s">
        <v>1065</v>
      </c>
      <c r="B316" s="30" t="s">
        <v>1066</v>
      </c>
      <c r="C316" s="30" t="s">
        <v>165</v>
      </c>
      <c r="D316" s="30" t="s"/>
      <c r="E316" s="31" t="s">
        <v>1067</v>
      </c>
      <c r="F316" s="22" t="s"/>
      <c r="G316" s="22" t="s"/>
      <c r="H316" s="22" t="s"/>
      <c r="I316" s="22" t="s"/>
      <c r="J316" s="22" t="s"/>
      <c r="K316" s="22" t="s"/>
      <c r="L316" s="22" t="s"/>
      <c r="M316" s="22" t="s"/>
      <c r="N316" s="22" t="s"/>
      <c r="O316" s="22" t="s"/>
      <c r="P316" s="22" t="s"/>
      <c r="Q316" s="22" t="s"/>
      <c r="R316" s="22" t="s"/>
      <c r="S316" s="22" t="s"/>
      <c r="T316" s="22" t="s"/>
      <c r="U316" s="22" t="s"/>
      <c r="V316" s="22" t="s"/>
      <c r="W316" s="22" t="s"/>
      <c r="X316" s="22" t="s"/>
      <c r="Y316" s="22" t="s"/>
      <c r="Z316" s="22" t="s"/>
    </row>
    <row r="317" spans="1:26" ht="16.8" customHeight="true">
      <c r="A317" s="41" t="s">
        <v>1068</v>
      </c>
      <c r="B317" s="30" t="s">
        <v>1069</v>
      </c>
      <c r="C317" s="30" t="s">
        <v>165</v>
      </c>
      <c r="D317" s="30" t="s"/>
      <c r="E317" s="31" t="s">
        <v>1070</v>
      </c>
      <c r="F317" s="22" t="s"/>
      <c r="G317" s="22" t="s"/>
      <c r="H317" s="22" t="s"/>
      <c r="I317" s="22" t="s"/>
      <c r="J317" s="22" t="s"/>
      <c r="K317" s="22" t="s"/>
      <c r="L317" s="22" t="s"/>
      <c r="M317" s="22" t="s"/>
      <c r="N317" s="22" t="s"/>
      <c r="O317" s="22" t="s"/>
      <c r="P317" s="22" t="s"/>
      <c r="Q317" s="22" t="s"/>
      <c r="R317" s="22" t="s"/>
      <c r="S317" s="22" t="s"/>
      <c r="T317" s="22" t="s"/>
      <c r="U317" s="22" t="s"/>
      <c r="V317" s="22" t="s"/>
      <c r="W317" s="22" t="s"/>
      <c r="X317" s="22" t="s"/>
      <c r="Y317" s="22" t="s"/>
      <c r="Z317" s="22" t="s"/>
    </row>
    <row r="318" spans="1:26" ht="16.8" customHeight="true">
      <c r="A318" s="41" t="s">
        <v>1071</v>
      </c>
      <c r="B318" s="30" t="s">
        <v>1072</v>
      </c>
      <c r="C318" s="30" t="s">
        <v>165</v>
      </c>
      <c r="D318" s="30" t="s"/>
      <c r="E318" s="31" t="s">
        <v>1073</v>
      </c>
      <c r="F318" s="22" t="s"/>
      <c r="G318" s="22" t="s"/>
      <c r="H318" s="22" t="s"/>
      <c r="I318" s="22" t="s"/>
      <c r="J318" s="22" t="s"/>
      <c r="K318" s="22" t="s"/>
      <c r="L318" s="22" t="s"/>
      <c r="M318" s="22" t="s"/>
      <c r="N318" s="22" t="s"/>
      <c r="O318" s="22" t="s"/>
      <c r="P318" s="22" t="s"/>
      <c r="Q318" s="22" t="s"/>
      <c r="R318" s="22" t="s"/>
      <c r="S318" s="22" t="s"/>
      <c r="T318" s="22" t="s"/>
      <c r="U318" s="22" t="s"/>
      <c r="V318" s="22" t="s"/>
      <c r="W318" s="22" t="s"/>
      <c r="X318" s="22" t="s"/>
      <c r="Y318" s="22" t="s"/>
      <c r="Z318" s="22" t="s"/>
    </row>
    <row r="319" spans="1:26" ht="16.8" customHeight="true">
      <c r="A319" s="41" t="s">
        <v>545</v>
      </c>
      <c r="B319" s="30" t="s">
        <v>546</v>
      </c>
      <c r="C319" s="30" t="s">
        <v>165</v>
      </c>
      <c r="D319" s="30" t="s"/>
      <c r="E319" s="31" t="s">
        <v>1074</v>
      </c>
      <c r="F319" s="22" t="s"/>
      <c r="G319" s="22" t="s"/>
      <c r="H319" s="22" t="s"/>
      <c r="I319" s="22" t="s"/>
      <c r="J319" s="22" t="s"/>
      <c r="K319" s="22" t="s"/>
      <c r="L319" s="22" t="s"/>
      <c r="M319" s="22" t="s"/>
      <c r="N319" s="22" t="s"/>
      <c r="O319" s="22" t="s"/>
      <c r="P319" s="22" t="s"/>
      <c r="Q319" s="22" t="s"/>
      <c r="R319" s="22" t="s"/>
      <c r="S319" s="22" t="s"/>
      <c r="T319" s="22" t="s"/>
      <c r="U319" s="22" t="s"/>
      <c r="V319" s="22" t="s"/>
      <c r="W319" s="22" t="s"/>
      <c r="X319" s="22" t="s"/>
      <c r="Y319" s="22" t="s"/>
      <c r="Z319" s="22" t="s"/>
    </row>
    <row r="320" spans="1:26" ht="16.8" customHeight="true">
      <c r="A320" s="41" t="s">
        <v>1075</v>
      </c>
      <c r="B320" s="30" t="s">
        <v>1076</v>
      </c>
      <c r="C320" s="30" t="s">
        <v>236</v>
      </c>
      <c r="D320" s="30" t="s">
        <v>1077</v>
      </c>
      <c r="E320" s="31" t="s">
        <v>1078</v>
      </c>
      <c r="F320" s="22" t="s"/>
      <c r="G320" s="22" t="s"/>
      <c r="H320" s="22" t="s"/>
      <c r="I320" s="22" t="s"/>
      <c r="J320" s="22" t="s"/>
      <c r="K320" s="22" t="s"/>
      <c r="L320" s="22" t="s"/>
      <c r="M320" s="22" t="s"/>
      <c r="N320" s="22" t="s"/>
      <c r="O320" s="22" t="s"/>
      <c r="P320" s="22" t="s"/>
      <c r="Q320" s="22" t="s"/>
      <c r="R320" s="22" t="s"/>
      <c r="S320" s="22" t="s"/>
      <c r="T320" s="22" t="s"/>
      <c r="U320" s="22" t="s"/>
      <c r="V320" s="22" t="s"/>
      <c r="W320" s="22" t="s"/>
      <c r="X320" s="22" t="s"/>
      <c r="Y320" s="22" t="s"/>
      <c r="Z320" s="22" t="s"/>
    </row>
    <row r="321" spans="1:26" ht="16.8" customHeight="true">
      <c r="A321" s="41" t="s">
        <v>1079</v>
      </c>
      <c r="B321" s="30" t="s">
        <v>1080</v>
      </c>
      <c r="C321" s="30" t="s">
        <v>263</v>
      </c>
      <c r="D321" s="30" t="s">
        <v>170</v>
      </c>
      <c r="E321" s="31" t="s">
        <v>1081</v>
      </c>
      <c r="F321" s="22" t="s"/>
      <c r="G321" s="22" t="s"/>
      <c r="H321" s="22" t="s"/>
      <c r="I321" s="22" t="s"/>
      <c r="J321" s="22" t="s"/>
      <c r="K321" s="22" t="s"/>
      <c r="L321" s="22" t="s"/>
      <c r="M321" s="22" t="s"/>
      <c r="N321" s="22" t="s"/>
      <c r="O321" s="22" t="s"/>
      <c r="P321" s="22" t="s"/>
      <c r="Q321" s="22" t="s"/>
      <c r="R321" s="22" t="s"/>
      <c r="S321" s="22" t="s"/>
      <c r="T321" s="22" t="s"/>
      <c r="U321" s="22" t="s"/>
      <c r="V321" s="22" t="s"/>
      <c r="W321" s="22" t="s"/>
      <c r="X321" s="22" t="s"/>
      <c r="Y321" s="22" t="s"/>
      <c r="Z321" s="22" t="s"/>
    </row>
    <row r="322" spans="1:26" ht="16.8" customHeight="true">
      <c r="A322" s="41" t="s">
        <v>1082</v>
      </c>
      <c r="B322" s="30" t="s">
        <v>1083</v>
      </c>
      <c r="C322" s="30" t="s">
        <v>165</v>
      </c>
      <c r="D322" s="30" t="s"/>
      <c r="E322" s="31" t="s">
        <v>1084</v>
      </c>
      <c r="F322" s="22" t="s"/>
      <c r="G322" s="22" t="s"/>
      <c r="H322" s="22" t="s"/>
      <c r="I322" s="22" t="s"/>
      <c r="J322" s="22" t="s"/>
      <c r="K322" s="22" t="s"/>
      <c r="L322" s="22" t="s"/>
      <c r="M322" s="22" t="s"/>
      <c r="N322" s="22" t="s"/>
      <c r="O322" s="22" t="s"/>
      <c r="P322" s="22" t="s"/>
      <c r="Q322" s="22" t="s"/>
      <c r="R322" s="22" t="s"/>
      <c r="S322" s="22" t="s"/>
      <c r="T322" s="22" t="s"/>
      <c r="U322" s="22" t="s"/>
      <c r="V322" s="22" t="s"/>
      <c r="W322" s="22" t="s"/>
      <c r="X322" s="22" t="s"/>
      <c r="Y322" s="22" t="s"/>
      <c r="Z322" s="22" t="s"/>
    </row>
    <row r="323" spans="1:26" ht="16.8" customHeight="true">
      <c r="A323" s="41" t="s">
        <v>1085</v>
      </c>
      <c r="B323" s="30" t="s">
        <v>1086</v>
      </c>
      <c r="C323" s="30" t="s">
        <v>165</v>
      </c>
      <c r="D323" s="30" t="s"/>
      <c r="E323" s="31" t="s">
        <v>1087</v>
      </c>
      <c r="F323" s="22" t="s"/>
      <c r="G323" s="22" t="s"/>
      <c r="H323" s="22" t="s"/>
      <c r="I323" s="22" t="s"/>
      <c r="J323" s="22" t="s"/>
      <c r="K323" s="22" t="s"/>
      <c r="L323" s="22" t="s"/>
      <c r="M323" s="22" t="s"/>
      <c r="N323" s="22" t="s"/>
      <c r="O323" s="22" t="s"/>
      <c r="P323" s="22" t="s"/>
      <c r="Q323" s="22" t="s"/>
      <c r="R323" s="22" t="s"/>
      <c r="S323" s="22" t="s"/>
      <c r="T323" s="22" t="s"/>
      <c r="U323" s="22" t="s"/>
      <c r="V323" s="22" t="s"/>
      <c r="W323" s="22" t="s"/>
      <c r="X323" s="22" t="s"/>
      <c r="Y323" s="22" t="s"/>
      <c r="Z323" s="22" t="s"/>
    </row>
    <row r="324" spans="1:26" ht="16.8" customHeight="true">
      <c r="A324" s="41" t="s">
        <v>1088</v>
      </c>
      <c r="B324" s="30" t="s">
        <v>1089</v>
      </c>
      <c r="C324" s="30" t="s">
        <v>165</v>
      </c>
      <c r="D324" s="30" t="s"/>
      <c r="E324" s="31" t="s">
        <v>1090</v>
      </c>
      <c r="F324" s="22" t="s"/>
      <c r="G324" s="22" t="s"/>
      <c r="H324" s="22" t="s"/>
      <c r="I324" s="22" t="s"/>
      <c r="J324" s="22" t="s"/>
      <c r="K324" s="22" t="s"/>
      <c r="L324" s="22" t="s"/>
      <c r="M324" s="22" t="s"/>
      <c r="N324" s="22" t="s"/>
      <c r="O324" s="22" t="s"/>
      <c r="P324" s="22" t="s"/>
      <c r="Q324" s="22" t="s"/>
      <c r="R324" s="22" t="s"/>
      <c r="S324" s="22" t="s"/>
      <c r="T324" s="22" t="s"/>
      <c r="U324" s="22" t="s"/>
      <c r="V324" s="22" t="s"/>
      <c r="W324" s="22" t="s"/>
      <c r="X324" s="22" t="s"/>
      <c r="Y324" s="22" t="s"/>
      <c r="Z324" s="22" t="s"/>
    </row>
    <row r="325" spans="1:26" ht="16.8" customHeight="true">
      <c r="A325" s="41" t="s">
        <v>1091</v>
      </c>
      <c r="B325" s="30" t="s">
        <v>1092</v>
      </c>
      <c r="C325" s="30" t="s">
        <v>165</v>
      </c>
      <c r="D325" s="30" t="s"/>
      <c r="E325" s="31" t="s">
        <v>1093</v>
      </c>
      <c r="F325" s="22" t="s"/>
      <c r="G325" s="22" t="s"/>
      <c r="H325" s="22" t="s"/>
      <c r="I325" s="22" t="s"/>
      <c r="J325" s="22" t="s"/>
      <c r="K325" s="22" t="s"/>
      <c r="L325" s="22" t="s"/>
      <c r="M325" s="22" t="s"/>
      <c r="N325" s="22" t="s"/>
      <c r="O325" s="22" t="s"/>
      <c r="P325" s="22" t="s"/>
      <c r="Q325" s="22" t="s"/>
      <c r="R325" s="22" t="s"/>
      <c r="S325" s="22" t="s"/>
      <c r="T325" s="22" t="s"/>
      <c r="U325" s="22" t="s"/>
      <c r="V325" s="22" t="s"/>
      <c r="W325" s="22" t="s"/>
      <c r="X325" s="22" t="s"/>
      <c r="Y325" s="22" t="s"/>
      <c r="Z325" s="22" t="s"/>
    </row>
    <row r="326" spans="1:26" ht="16.8" customHeight="true">
      <c r="A326" s="41" t="s">
        <v>1094</v>
      </c>
      <c r="B326" s="30" t="s">
        <v>1095</v>
      </c>
      <c r="C326" s="30" t="s">
        <v>382</v>
      </c>
      <c r="D326" s="30" t="s">
        <v>170</v>
      </c>
      <c r="E326" s="31" t="s">
        <v>1096</v>
      </c>
      <c r="F326" s="22" t="s"/>
      <c r="G326" s="22" t="s"/>
      <c r="H326" s="22" t="s"/>
      <c r="I326" s="22" t="s"/>
      <c r="J326" s="22" t="s"/>
      <c r="K326" s="22" t="s"/>
      <c r="L326" s="22" t="s"/>
      <c r="M326" s="22" t="s"/>
      <c r="N326" s="22" t="s"/>
      <c r="O326" s="22" t="s"/>
      <c r="P326" s="22" t="s"/>
      <c r="Q326" s="22" t="s"/>
      <c r="R326" s="22" t="s"/>
      <c r="S326" s="22" t="s"/>
      <c r="T326" s="22" t="s"/>
      <c r="U326" s="22" t="s"/>
      <c r="V326" s="22" t="s"/>
      <c r="W326" s="22" t="s"/>
      <c r="X326" s="22" t="s"/>
      <c r="Y326" s="22" t="s"/>
      <c r="Z326" s="22" t="s"/>
    </row>
    <row r="327" spans="1:26" ht="16.8" customHeight="true">
      <c r="A327" s="41" t="s">
        <v>1097</v>
      </c>
      <c r="B327" s="30" t="s">
        <v>1098</v>
      </c>
      <c r="C327" s="30" t="s">
        <v>1099</v>
      </c>
      <c r="D327" s="30" t="s">
        <v>153</v>
      </c>
      <c r="E327" s="31" t="s">
        <v>1100</v>
      </c>
      <c r="F327" s="22" t="s"/>
      <c r="G327" s="22" t="s"/>
      <c r="H327" s="22" t="s"/>
      <c r="I327" s="22" t="s"/>
      <c r="J327" s="22" t="s"/>
      <c r="K327" s="22" t="s"/>
      <c r="L327" s="22" t="s"/>
      <c r="M327" s="22" t="s"/>
      <c r="N327" s="22" t="s"/>
      <c r="O327" s="22" t="s"/>
      <c r="P327" s="22" t="s"/>
      <c r="Q327" s="22" t="s"/>
      <c r="R327" s="22" t="s"/>
      <c r="S327" s="22" t="s"/>
      <c r="T327" s="22" t="s"/>
      <c r="U327" s="22" t="s"/>
      <c r="V327" s="22" t="s"/>
      <c r="W327" s="22" t="s"/>
      <c r="X327" s="22" t="s"/>
      <c r="Y327" s="22" t="s"/>
      <c r="Z327" s="22" t="s"/>
    </row>
    <row r="328" spans="1:26" ht="16.8" customHeight="true">
      <c r="A328" s="41" t="s">
        <v>1101</v>
      </c>
      <c r="B328" s="30" t="s">
        <v>1102</v>
      </c>
      <c r="C328" s="30" t="s">
        <v>165</v>
      </c>
      <c r="D328" s="30" t="s"/>
      <c r="E328" s="31" t="s">
        <v>288</v>
      </c>
      <c r="F328" s="22" t="s"/>
      <c r="G328" s="22" t="s"/>
      <c r="H328" s="22" t="s"/>
      <c r="I328" s="22" t="s"/>
      <c r="J328" s="22" t="s"/>
      <c r="K328" s="22" t="s"/>
      <c r="L328" s="22" t="s"/>
      <c r="M328" s="22" t="s"/>
      <c r="N328" s="22" t="s"/>
      <c r="O328" s="22" t="s"/>
      <c r="P328" s="22" t="s"/>
      <c r="Q328" s="22" t="s"/>
      <c r="R328" s="22" t="s"/>
      <c r="S328" s="22" t="s"/>
      <c r="T328" s="22" t="s"/>
      <c r="U328" s="22" t="s"/>
      <c r="V328" s="22" t="s"/>
      <c r="W328" s="22" t="s"/>
      <c r="X328" s="22" t="s"/>
      <c r="Y328" s="22" t="s"/>
      <c r="Z328" s="22" t="s"/>
    </row>
    <row r="329" spans="1:26" ht="16.8" customHeight="true">
      <c r="A329" s="41" t="s">
        <v>1103</v>
      </c>
      <c r="B329" s="30" t="s">
        <v>1104</v>
      </c>
      <c r="C329" s="30" t="s">
        <v>165</v>
      </c>
      <c r="D329" s="30" t="s"/>
      <c r="E329" s="31" t="s">
        <v>1105</v>
      </c>
      <c r="F329" s="22" t="s"/>
      <c r="G329" s="22" t="s"/>
      <c r="H329" s="22" t="s"/>
      <c r="I329" s="22" t="s"/>
      <c r="J329" s="22" t="s"/>
      <c r="K329" s="22" t="s"/>
      <c r="L329" s="22" t="s"/>
      <c r="M329" s="22" t="s"/>
      <c r="N329" s="22" t="s"/>
      <c r="O329" s="22" t="s"/>
      <c r="P329" s="22" t="s"/>
      <c r="Q329" s="22" t="s"/>
      <c r="R329" s="22" t="s"/>
      <c r="S329" s="22" t="s"/>
      <c r="T329" s="22" t="s"/>
      <c r="U329" s="22" t="s"/>
      <c r="V329" s="22" t="s"/>
      <c r="W329" s="22" t="s"/>
      <c r="X329" s="22" t="s"/>
      <c r="Y329" s="22" t="s"/>
      <c r="Z329" s="22" t="s"/>
    </row>
    <row r="330" spans="1:26" ht="16.8" customHeight="true">
      <c r="A330" s="41" t="s">
        <v>1106</v>
      </c>
      <c r="B330" s="30" t="s">
        <v>1107</v>
      </c>
      <c r="C330" s="30" t="s">
        <v>263</v>
      </c>
      <c r="D330" s="30" t="s">
        <v>153</v>
      </c>
      <c r="E330" s="31" t="s">
        <v>288</v>
      </c>
      <c r="F330" s="22" t="s"/>
      <c r="G330" s="22" t="s"/>
      <c r="H330" s="22" t="s"/>
      <c r="I330" s="22" t="s"/>
      <c r="J330" s="22" t="s"/>
      <c r="K330" s="22" t="s"/>
      <c r="L330" s="22" t="s"/>
      <c r="M330" s="22" t="s"/>
      <c r="N330" s="22" t="s"/>
      <c r="O330" s="22" t="s"/>
      <c r="P330" s="22" t="s"/>
      <c r="Q330" s="22" t="s"/>
      <c r="R330" s="22" t="s"/>
      <c r="S330" s="22" t="s"/>
      <c r="T330" s="22" t="s"/>
      <c r="U330" s="22" t="s"/>
      <c r="V330" s="22" t="s"/>
      <c r="W330" s="22" t="s"/>
      <c r="X330" s="22" t="s"/>
      <c r="Y330" s="22" t="s"/>
      <c r="Z330" s="22" t="s"/>
    </row>
    <row r="331" spans="1:26" ht="16.8" customHeight="true">
      <c r="A331" s="41" t="s">
        <v>1108</v>
      </c>
      <c r="B331" s="30" t="s">
        <v>1109</v>
      </c>
      <c r="C331" s="30" t="s">
        <v>1110</v>
      </c>
      <c r="D331" s="30" t="s">
        <v>153</v>
      </c>
      <c r="E331" s="31" t="s">
        <v>288</v>
      </c>
      <c r="F331" s="22" t="s"/>
      <c r="G331" s="22" t="s"/>
      <c r="H331" s="22" t="s"/>
      <c r="I331" s="22" t="s"/>
      <c r="J331" s="22" t="s"/>
      <c r="K331" s="22" t="s"/>
      <c r="L331" s="22" t="s"/>
      <c r="M331" s="22" t="s"/>
      <c r="N331" s="22" t="s"/>
      <c r="O331" s="22" t="s"/>
      <c r="P331" s="22" t="s"/>
      <c r="Q331" s="22" t="s"/>
      <c r="R331" s="22" t="s"/>
      <c r="S331" s="22" t="s"/>
      <c r="T331" s="22" t="s"/>
      <c r="U331" s="22" t="s"/>
      <c r="V331" s="22" t="s"/>
      <c r="W331" s="22" t="s"/>
      <c r="X331" s="22" t="s"/>
      <c r="Y331" s="22" t="s"/>
      <c r="Z331" s="22" t="s"/>
    </row>
    <row r="332" spans="1:26" ht="16.8" customHeight="true">
      <c r="A332" s="41" t="s">
        <v>1111</v>
      </c>
      <c r="B332" s="30" t="s">
        <v>1112</v>
      </c>
      <c r="C332" s="30" t="s">
        <v>165</v>
      </c>
      <c r="D332" s="30" t="s"/>
      <c r="E332" s="31" t="s">
        <v>1113</v>
      </c>
      <c r="F332" s="22" t="s"/>
      <c r="G332" s="22" t="s"/>
      <c r="H332" s="22" t="s"/>
      <c r="I332" s="22" t="s"/>
      <c r="J332" s="22" t="s"/>
      <c r="K332" s="22" t="s"/>
      <c r="L332" s="22" t="s"/>
      <c r="M332" s="22" t="s"/>
      <c r="N332" s="22" t="s"/>
      <c r="O332" s="22" t="s"/>
      <c r="P332" s="22" t="s"/>
      <c r="Q332" s="22" t="s"/>
      <c r="R332" s="22" t="s"/>
      <c r="S332" s="22" t="s"/>
      <c r="T332" s="22" t="s"/>
      <c r="U332" s="22" t="s"/>
      <c r="V332" s="22" t="s"/>
      <c r="W332" s="22" t="s"/>
      <c r="X332" s="22" t="s"/>
      <c r="Y332" s="22" t="s"/>
      <c r="Z332" s="22" t="s"/>
    </row>
    <row r="333" spans="1:26" ht="16.8" customHeight="true">
      <c r="A333" s="41" t="s">
        <v>1114</v>
      </c>
      <c r="B333" s="30" t="s">
        <v>1115</v>
      </c>
      <c r="C333" s="30" t="s">
        <v>165</v>
      </c>
      <c r="D333" s="30" t="s"/>
      <c r="E333" s="31" t="s">
        <v>1116</v>
      </c>
      <c r="F333" s="22" t="s"/>
      <c r="G333" s="22" t="s"/>
      <c r="H333" s="22" t="s"/>
      <c r="I333" s="22" t="s"/>
      <c r="J333" s="22" t="s"/>
      <c r="K333" s="22" t="s"/>
      <c r="L333" s="22" t="s"/>
      <c r="M333" s="22" t="s"/>
      <c r="N333" s="22" t="s"/>
      <c r="O333" s="22" t="s"/>
      <c r="P333" s="22" t="s"/>
      <c r="Q333" s="22" t="s"/>
      <c r="R333" s="22" t="s"/>
      <c r="S333" s="22" t="s"/>
      <c r="T333" s="22" t="s"/>
      <c r="U333" s="22" t="s"/>
      <c r="V333" s="22" t="s"/>
      <c r="W333" s="22" t="s"/>
      <c r="X333" s="22" t="s"/>
      <c r="Y333" s="22" t="s"/>
      <c r="Z333" s="22" t="s"/>
    </row>
    <row r="334" spans="1:26" ht="16.8" customHeight="true">
      <c r="A334" s="41" t="s">
        <v>1117</v>
      </c>
      <c r="B334" s="30" t="s">
        <v>1118</v>
      </c>
      <c r="C334" s="30" t="s">
        <v>165</v>
      </c>
      <c r="D334" s="30" t="s"/>
      <c r="E334" s="31" t="s">
        <v>1119</v>
      </c>
      <c r="F334" s="22" t="s"/>
      <c r="G334" s="22" t="s"/>
      <c r="H334" s="22" t="s"/>
      <c r="I334" s="22" t="s"/>
      <c r="J334" s="22" t="s"/>
      <c r="K334" s="22" t="s"/>
      <c r="L334" s="22" t="s"/>
      <c r="M334" s="22" t="s"/>
      <c r="N334" s="22" t="s"/>
      <c r="O334" s="22" t="s"/>
      <c r="P334" s="22" t="s"/>
      <c r="Q334" s="22" t="s"/>
      <c r="R334" s="22" t="s"/>
      <c r="S334" s="22" t="s"/>
      <c r="T334" s="22" t="s"/>
      <c r="U334" s="22" t="s"/>
      <c r="V334" s="22" t="s"/>
      <c r="W334" s="22" t="s"/>
      <c r="X334" s="22" t="s"/>
      <c r="Y334" s="22" t="s"/>
      <c r="Z334" s="22" t="s"/>
    </row>
    <row r="335" spans="1:26" ht="16.8" customHeight="true">
      <c r="A335" s="41" t="s">
        <v>665</v>
      </c>
      <c r="B335" s="30" t="s">
        <v>666</v>
      </c>
      <c r="C335" s="30" t="s">
        <v>165</v>
      </c>
      <c r="D335" s="30" t="s"/>
      <c r="E335" s="31" t="s">
        <v>1120</v>
      </c>
      <c r="F335" s="22" t="s"/>
      <c r="G335" s="22" t="s"/>
      <c r="H335" s="22" t="s"/>
      <c r="I335" s="22" t="s"/>
      <c r="J335" s="22" t="s"/>
      <c r="K335" s="22" t="s"/>
      <c r="L335" s="22" t="s"/>
      <c r="M335" s="22" t="s"/>
      <c r="N335" s="22" t="s"/>
      <c r="O335" s="22" t="s"/>
      <c r="P335" s="22" t="s"/>
      <c r="Q335" s="22" t="s"/>
      <c r="R335" s="22" t="s"/>
      <c r="S335" s="22" t="s"/>
      <c r="T335" s="22" t="s"/>
      <c r="U335" s="22" t="s"/>
      <c r="V335" s="22" t="s"/>
      <c r="W335" s="22" t="s"/>
      <c r="X335" s="22" t="s"/>
      <c r="Y335" s="22" t="s"/>
      <c r="Z335" s="22" t="s"/>
    </row>
    <row r="336" spans="1:26" ht="16.8" customHeight="true">
      <c r="A336" s="41" t="s">
        <v>1121</v>
      </c>
      <c r="B336" s="30" t="s">
        <v>1122</v>
      </c>
      <c r="C336" s="30" t="s">
        <v>165</v>
      </c>
      <c r="D336" s="30" t="s"/>
      <c r="E336" s="31" t="s">
        <v>1123</v>
      </c>
      <c r="F336" s="22" t="s"/>
      <c r="G336" s="22" t="s"/>
      <c r="H336" s="22" t="s"/>
      <c r="I336" s="22" t="s"/>
      <c r="J336" s="22" t="s"/>
      <c r="K336" s="22" t="s"/>
      <c r="L336" s="22" t="s"/>
      <c r="M336" s="22" t="s"/>
      <c r="N336" s="22" t="s"/>
      <c r="O336" s="22" t="s"/>
      <c r="P336" s="22" t="s"/>
      <c r="Q336" s="22" t="s"/>
      <c r="R336" s="22" t="s"/>
      <c r="S336" s="22" t="s"/>
      <c r="T336" s="22" t="s"/>
      <c r="U336" s="22" t="s"/>
      <c r="V336" s="22" t="s"/>
      <c r="W336" s="22" t="s"/>
      <c r="X336" s="22" t="s"/>
      <c r="Y336" s="22" t="s"/>
      <c r="Z336" s="22" t="s"/>
    </row>
    <row r="337" spans="1:26" ht="16.8" customHeight="true">
      <c r="A337" s="41" t="s">
        <v>1124</v>
      </c>
      <c r="B337" s="30" t="s">
        <v>1125</v>
      </c>
      <c r="C337" s="30" t="s">
        <v>165</v>
      </c>
      <c r="D337" s="30" t="s"/>
      <c r="E337" s="31" t="s">
        <v>1126</v>
      </c>
      <c r="F337" s="22" t="s"/>
      <c r="G337" s="22" t="s"/>
      <c r="H337" s="22" t="s"/>
      <c r="I337" s="22" t="s"/>
      <c r="J337" s="22" t="s"/>
      <c r="K337" s="22" t="s"/>
      <c r="L337" s="22" t="s"/>
      <c r="M337" s="22" t="s"/>
      <c r="N337" s="22" t="s"/>
      <c r="O337" s="22" t="s"/>
      <c r="P337" s="22" t="s"/>
      <c r="Q337" s="22" t="s"/>
      <c r="R337" s="22" t="s"/>
      <c r="S337" s="22" t="s"/>
      <c r="T337" s="22" t="s"/>
      <c r="U337" s="22" t="s"/>
      <c r="V337" s="22" t="s"/>
      <c r="W337" s="22" t="s"/>
      <c r="X337" s="22" t="s"/>
      <c r="Y337" s="22" t="s"/>
      <c r="Z337" s="22" t="s"/>
    </row>
    <row r="338" spans="1:26" ht="16.8" customHeight="true">
      <c r="A338" s="41" t="s">
        <v>1127</v>
      </c>
      <c r="B338" s="30" t="s">
        <v>1128</v>
      </c>
      <c r="C338" s="30" t="s">
        <v>165</v>
      </c>
      <c r="D338" s="30" t="s"/>
      <c r="E338" s="31" t="s">
        <v>1129</v>
      </c>
      <c r="F338" s="22" t="s"/>
      <c r="G338" s="22" t="s"/>
      <c r="H338" s="22" t="s"/>
      <c r="I338" s="22" t="s"/>
      <c r="J338" s="22" t="s"/>
      <c r="K338" s="22" t="s"/>
      <c r="L338" s="22" t="s"/>
      <c r="M338" s="22" t="s"/>
      <c r="N338" s="22" t="s"/>
      <c r="O338" s="22" t="s"/>
      <c r="P338" s="22" t="s"/>
      <c r="Q338" s="22" t="s"/>
      <c r="R338" s="22" t="s"/>
      <c r="S338" s="22" t="s"/>
      <c r="T338" s="22" t="s"/>
      <c r="U338" s="22" t="s"/>
      <c r="V338" s="22" t="s"/>
      <c r="W338" s="22" t="s"/>
      <c r="X338" s="22" t="s"/>
      <c r="Y338" s="22" t="s"/>
      <c r="Z338" s="22" t="s"/>
    </row>
    <row r="339" spans="1:26" ht="16.8" customHeight="true">
      <c r="A339" s="42" t="s">
        <v>1130</v>
      </c>
      <c r="B339" s="33" t="s">
        <v>1131</v>
      </c>
      <c r="C339" s="33" t="s">
        <v>165</v>
      </c>
      <c r="D339" s="33" t="s"/>
      <c r="E339" s="34" t="s">
        <v>1132</v>
      </c>
      <c r="F339" s="22" t="s"/>
      <c r="G339" s="22" t="s"/>
      <c r="H339" s="22" t="s"/>
      <c r="I339" s="22" t="s"/>
      <c r="J339" s="22" t="s"/>
      <c r="K339" s="22" t="s"/>
      <c r="L339" s="22" t="s"/>
      <c r="M339" s="22" t="s"/>
      <c r="N339" s="22" t="s"/>
      <c r="O339" s="22" t="s"/>
      <c r="P339" s="22" t="s"/>
      <c r="Q339" s="22" t="s"/>
      <c r="R339" s="22" t="s"/>
      <c r="S339" s="22" t="s"/>
      <c r="T339" s="22" t="s"/>
      <c r="U339" s="22" t="s"/>
      <c r="V339" s="22" t="s"/>
      <c r="W339" s="22" t="s"/>
      <c r="X339" s="22" t="s"/>
      <c r="Y339" s="22" t="s"/>
      <c r="Z339" s="22" t="s"/>
    </row>
    <row r="340" spans="1:26" ht="16.8" customHeight="true">
      <c r="A340" s="43">
        <v>46054</v>
      </c>
      <c r="B340" s="44" t="s"/>
      <c r="C340" s="44" t="s"/>
      <c r="D340" s="44" t="s"/>
      <c r="E340" s="45" t="s"/>
      <c r="F340" s="46" t="s"/>
      <c r="G340" s="46" t="s"/>
      <c r="H340" s="46" t="s"/>
      <c r="I340" s="46" t="s"/>
      <c r="J340" s="46" t="s"/>
      <c r="K340" s="46" t="s"/>
      <c r="L340" s="46" t="s"/>
      <c r="M340" s="46" t="s"/>
      <c r="N340" s="46" t="s"/>
      <c r="O340" s="46" t="s"/>
      <c r="P340" s="46" t="s"/>
      <c r="Q340" s="46" t="s"/>
      <c r="R340" s="46" t="s"/>
      <c r="S340" s="46" t="s"/>
      <c r="T340" s="46" t="s"/>
      <c r="U340" s="46" t="s"/>
      <c r="V340" s="46" t="s"/>
      <c r="W340" s="46" t="s"/>
      <c r="X340" s="46" t="s"/>
      <c r="Y340" s="46" t="s"/>
      <c r="Z340" s="46" t="s"/>
    </row>
    <row r="341" spans="1:5">
      <c r="A341" s="38" t="s">
        <v>135</v>
      </c>
      <c r="B341" s="39" t="s">
        <v>136</v>
      </c>
      <c r="C341" s="39" t="s">
        <v>137</v>
      </c>
      <c r="D341" s="39" t="s">
        <v>138</v>
      </c>
      <c r="E341" s="40" t="s">
        <v>139</v>
      </c>
    </row>
    <row r="342" spans="1:26" ht="16.8" customHeight="true">
      <c r="A342" s="47" t="s">
        <v>1133</v>
      </c>
      <c r="B342" s="30" t="s">
        <v>1134</v>
      </c>
      <c r="C342" s="30" t="s">
        <v>165</v>
      </c>
      <c r="D342" s="30" t="s"/>
      <c r="E342" s="31" t="s">
        <v>1135</v>
      </c>
      <c r="F342" s="22" t="s"/>
      <c r="G342" s="22" t="s"/>
      <c r="H342" s="22" t="s"/>
      <c r="I342" s="22" t="s"/>
      <c r="J342" s="22" t="s"/>
      <c r="K342" s="22" t="s"/>
      <c r="L342" s="22" t="s"/>
      <c r="M342" s="22" t="s"/>
      <c r="N342" s="22" t="s"/>
      <c r="O342" s="22" t="s"/>
      <c r="P342" s="22" t="s"/>
      <c r="Q342" s="22" t="s"/>
      <c r="R342" s="22" t="s"/>
      <c r="S342" s="22" t="s"/>
      <c r="T342" s="22" t="s"/>
      <c r="U342" s="22" t="s"/>
      <c r="V342" s="22" t="s"/>
      <c r="W342" s="22" t="s"/>
      <c r="X342" s="22" t="s"/>
      <c r="Y342" s="22" t="s"/>
      <c r="Z342" s="22" t="s"/>
    </row>
    <row r="343" spans="1:26" ht="16.8" customHeight="true">
      <c r="A343" s="47" t="s">
        <v>1136</v>
      </c>
      <c r="B343" s="30" t="s">
        <v>1137</v>
      </c>
      <c r="C343" s="30" t="s">
        <v>165</v>
      </c>
      <c r="D343" s="30" t="s"/>
      <c r="E343" s="31" t="s">
        <v>1138</v>
      </c>
      <c r="F343" s="22" t="s"/>
      <c r="G343" s="22" t="s"/>
      <c r="H343" s="22" t="s"/>
      <c r="I343" s="22" t="s"/>
      <c r="J343" s="22" t="s"/>
      <c r="K343" s="22" t="s"/>
      <c r="L343" s="22" t="s"/>
      <c r="M343" s="22" t="s"/>
      <c r="N343" s="22" t="s"/>
      <c r="O343" s="22" t="s"/>
      <c r="P343" s="22" t="s"/>
      <c r="Q343" s="22" t="s"/>
      <c r="R343" s="22" t="s"/>
      <c r="S343" s="22" t="s"/>
      <c r="T343" s="22" t="s"/>
      <c r="U343" s="22" t="s"/>
      <c r="V343" s="22" t="s"/>
      <c r="W343" s="22" t="s"/>
      <c r="X343" s="22" t="s"/>
      <c r="Y343" s="22" t="s"/>
      <c r="Z343" s="22" t="s"/>
    </row>
    <row r="344" spans="1:26" ht="16.8" customHeight="true">
      <c r="A344" s="47" t="s">
        <v>656</v>
      </c>
      <c r="B344" s="30" t="s">
        <v>657</v>
      </c>
      <c r="C344" s="30" t="s">
        <v>165</v>
      </c>
      <c r="D344" s="30" t="s"/>
      <c r="E344" s="31" t="s">
        <v>1139</v>
      </c>
      <c r="F344" s="22" t="s"/>
      <c r="G344" s="22" t="s"/>
      <c r="H344" s="22" t="s"/>
      <c r="I344" s="22" t="s"/>
      <c r="J344" s="22" t="s"/>
      <c r="K344" s="22" t="s"/>
      <c r="L344" s="22" t="s"/>
      <c r="M344" s="22" t="s"/>
      <c r="N344" s="22" t="s"/>
      <c r="O344" s="22" t="s"/>
      <c r="P344" s="22" t="s"/>
      <c r="Q344" s="22" t="s"/>
      <c r="R344" s="22" t="s"/>
      <c r="S344" s="22" t="s"/>
      <c r="T344" s="22" t="s"/>
      <c r="U344" s="22" t="s"/>
      <c r="V344" s="22" t="s"/>
      <c r="W344" s="22" t="s"/>
      <c r="X344" s="22" t="s"/>
      <c r="Y344" s="22" t="s"/>
      <c r="Z344" s="22" t="s"/>
    </row>
    <row r="345" spans="1:26" ht="16.8" customHeight="true">
      <c r="A345" s="47" t="s">
        <v>1140</v>
      </c>
      <c r="B345" s="30" t="s">
        <v>1141</v>
      </c>
      <c r="C345" s="30" t="s">
        <v>165</v>
      </c>
      <c r="D345" s="30" t="s"/>
      <c r="E345" s="31" t="s">
        <v>1142</v>
      </c>
      <c r="F345" s="22" t="s"/>
      <c r="G345" s="22" t="s"/>
      <c r="H345" s="22" t="s"/>
      <c r="I345" s="22" t="s"/>
      <c r="J345" s="22" t="s"/>
      <c r="K345" s="22" t="s"/>
      <c r="L345" s="22" t="s"/>
      <c r="M345" s="22" t="s"/>
      <c r="N345" s="22" t="s"/>
      <c r="O345" s="22" t="s"/>
      <c r="P345" s="22" t="s"/>
      <c r="Q345" s="22" t="s"/>
      <c r="R345" s="22" t="s"/>
      <c r="S345" s="22" t="s"/>
      <c r="T345" s="22" t="s"/>
      <c r="U345" s="22" t="s"/>
      <c r="V345" s="22" t="s"/>
      <c r="W345" s="22" t="s"/>
      <c r="X345" s="22" t="s"/>
      <c r="Y345" s="22" t="s"/>
      <c r="Z345" s="22" t="s"/>
    </row>
    <row r="346" spans="1:26" ht="16.8" customHeight="true">
      <c r="A346" s="47" t="s">
        <v>1143</v>
      </c>
      <c r="B346" s="30" t="s">
        <v>182</v>
      </c>
      <c r="C346" s="30" t="s">
        <v>165</v>
      </c>
      <c r="D346" s="30" t="s"/>
      <c r="E346" s="31" t="s">
        <v>1144</v>
      </c>
      <c r="F346" s="22" t="s"/>
      <c r="G346" s="22" t="s"/>
      <c r="H346" s="22" t="s"/>
      <c r="I346" s="22" t="s"/>
      <c r="J346" s="22" t="s"/>
      <c r="K346" s="22" t="s"/>
      <c r="L346" s="22" t="s"/>
      <c r="M346" s="22" t="s"/>
      <c r="N346" s="22" t="s"/>
      <c r="O346" s="22" t="s"/>
      <c r="P346" s="22" t="s"/>
      <c r="Q346" s="22" t="s"/>
      <c r="R346" s="22" t="s"/>
      <c r="S346" s="22" t="s"/>
      <c r="T346" s="22" t="s"/>
      <c r="U346" s="22" t="s"/>
      <c r="V346" s="22" t="s"/>
      <c r="W346" s="22" t="s"/>
      <c r="X346" s="22" t="s"/>
      <c r="Y346" s="22" t="s"/>
      <c r="Z346" s="22" t="s"/>
    </row>
    <row r="347" spans="1:26" ht="16.8" customHeight="true">
      <c r="A347" s="47" t="s">
        <v>1145</v>
      </c>
      <c r="B347" s="30" t="s">
        <v>1146</v>
      </c>
      <c r="C347" s="30" t="s">
        <v>165</v>
      </c>
      <c r="D347" s="30" t="s"/>
      <c r="E347" s="31" t="s">
        <v>1147</v>
      </c>
      <c r="F347" s="22" t="s"/>
      <c r="G347" s="22" t="s"/>
      <c r="H347" s="22" t="s"/>
      <c r="I347" s="22" t="s"/>
      <c r="J347" s="22" t="s"/>
      <c r="K347" s="22" t="s"/>
      <c r="L347" s="22" t="s"/>
      <c r="M347" s="22" t="s"/>
      <c r="N347" s="22" t="s"/>
      <c r="O347" s="22" t="s"/>
      <c r="P347" s="22" t="s"/>
      <c r="Q347" s="22" t="s"/>
      <c r="R347" s="22" t="s"/>
      <c r="S347" s="22" t="s"/>
      <c r="T347" s="22" t="s"/>
      <c r="U347" s="22" t="s"/>
      <c r="V347" s="22" t="s"/>
      <c r="W347" s="22" t="s"/>
      <c r="X347" s="22" t="s"/>
      <c r="Y347" s="22" t="s"/>
      <c r="Z347" s="22" t="s"/>
    </row>
    <row r="348" spans="1:26" ht="16.8" customHeight="true">
      <c r="A348" s="47" t="s">
        <v>1148</v>
      </c>
      <c r="B348" s="30" t="s">
        <v>1149</v>
      </c>
      <c r="C348" s="30" t="s">
        <v>165</v>
      </c>
      <c r="D348" s="30" t="s"/>
      <c r="E348" s="31" t="s">
        <v>1150</v>
      </c>
      <c r="F348" s="22" t="s"/>
      <c r="G348" s="22" t="s"/>
      <c r="H348" s="22" t="s"/>
      <c r="I348" s="22" t="s"/>
      <c r="J348" s="22" t="s"/>
      <c r="K348" s="22" t="s"/>
      <c r="L348" s="22" t="s"/>
      <c r="M348" s="22" t="s"/>
      <c r="N348" s="22" t="s"/>
      <c r="O348" s="22" t="s"/>
      <c r="P348" s="22" t="s"/>
      <c r="Q348" s="22" t="s"/>
      <c r="R348" s="22" t="s"/>
      <c r="S348" s="22" t="s"/>
      <c r="T348" s="22" t="s"/>
      <c r="U348" s="22" t="s"/>
      <c r="V348" s="22" t="s"/>
      <c r="W348" s="22" t="s"/>
      <c r="X348" s="22" t="s"/>
      <c r="Y348" s="22" t="s"/>
      <c r="Z348" s="22" t="s"/>
    </row>
    <row r="349" spans="1:26" ht="16.8" customHeight="true">
      <c r="A349" s="47" t="s">
        <v>1151</v>
      </c>
      <c r="B349" s="30" t="s">
        <v>1152</v>
      </c>
      <c r="C349" s="30" t="s">
        <v>165</v>
      </c>
      <c r="D349" s="30" t="s"/>
      <c r="E349" s="31" t="s">
        <v>1153</v>
      </c>
      <c r="F349" s="22" t="s"/>
      <c r="G349" s="22" t="s"/>
      <c r="H349" s="22" t="s"/>
      <c r="I349" s="22" t="s"/>
      <c r="J349" s="22" t="s"/>
      <c r="K349" s="22" t="s"/>
      <c r="L349" s="22" t="s"/>
      <c r="M349" s="22" t="s"/>
      <c r="N349" s="22" t="s"/>
      <c r="O349" s="22" t="s"/>
      <c r="P349" s="22" t="s"/>
      <c r="Q349" s="22" t="s"/>
      <c r="R349" s="22" t="s"/>
      <c r="S349" s="22" t="s"/>
      <c r="T349" s="22" t="s"/>
      <c r="U349" s="22" t="s"/>
      <c r="V349" s="22" t="s"/>
      <c r="W349" s="22" t="s"/>
      <c r="X349" s="22" t="s"/>
      <c r="Y349" s="22" t="s"/>
      <c r="Z349" s="22" t="s"/>
    </row>
    <row r="350" spans="1:26" ht="16.8" customHeight="true">
      <c r="A350" s="47" t="s">
        <v>1154</v>
      </c>
      <c r="B350" s="30" t="s">
        <v>1155</v>
      </c>
      <c r="C350" s="30" t="s">
        <v>165</v>
      </c>
      <c r="D350" s="30" t="s"/>
      <c r="E350" s="31" t="s">
        <v>1156</v>
      </c>
      <c r="F350" s="22" t="s"/>
      <c r="G350" s="22" t="s"/>
      <c r="H350" s="22" t="s"/>
      <c r="I350" s="22" t="s"/>
      <c r="J350" s="22" t="s"/>
      <c r="K350" s="22" t="s"/>
      <c r="L350" s="22" t="s"/>
      <c r="M350" s="22" t="s"/>
      <c r="N350" s="22" t="s"/>
      <c r="O350" s="22" t="s"/>
      <c r="P350" s="22" t="s"/>
      <c r="Q350" s="22" t="s"/>
      <c r="R350" s="22" t="s"/>
      <c r="S350" s="22" t="s"/>
      <c r="T350" s="22" t="s"/>
      <c r="U350" s="22" t="s"/>
      <c r="V350" s="22" t="s"/>
      <c r="W350" s="22" t="s"/>
      <c r="X350" s="22" t="s"/>
      <c r="Y350" s="22" t="s"/>
      <c r="Z350" s="22" t="s"/>
    </row>
    <row r="351" spans="1:26" ht="16.8" customHeight="true">
      <c r="A351" s="47" t="s">
        <v>1157</v>
      </c>
      <c r="B351" s="30" t="s">
        <v>1158</v>
      </c>
      <c r="C351" s="30" t="s">
        <v>165</v>
      </c>
      <c r="D351" s="30" t="s"/>
      <c r="E351" s="31" t="s">
        <v>1159</v>
      </c>
      <c r="F351" s="22" t="s"/>
      <c r="G351" s="22" t="s"/>
      <c r="H351" s="22" t="s"/>
      <c r="I351" s="22" t="s"/>
      <c r="J351" s="22" t="s"/>
      <c r="K351" s="22" t="s"/>
      <c r="L351" s="22" t="s"/>
      <c r="M351" s="22" t="s"/>
      <c r="N351" s="22" t="s"/>
      <c r="O351" s="22" t="s"/>
      <c r="P351" s="22" t="s"/>
      <c r="Q351" s="22" t="s"/>
      <c r="R351" s="22" t="s"/>
      <c r="S351" s="22" t="s"/>
      <c r="T351" s="22" t="s"/>
      <c r="U351" s="22" t="s"/>
      <c r="V351" s="22" t="s"/>
      <c r="W351" s="22" t="s"/>
      <c r="X351" s="22" t="s"/>
      <c r="Y351" s="22" t="s"/>
      <c r="Z351" s="22" t="s"/>
    </row>
    <row r="352" spans="1:26" ht="16.8" customHeight="true">
      <c r="A352" s="47" t="s">
        <v>1160</v>
      </c>
      <c r="B352" s="30" t="s">
        <v>1161</v>
      </c>
      <c r="C352" s="30" t="s">
        <v>165</v>
      </c>
      <c r="D352" s="30" t="s"/>
      <c r="E352" s="31" t="s">
        <v>1162</v>
      </c>
      <c r="F352" s="22" t="s"/>
      <c r="G352" s="22" t="s"/>
      <c r="H352" s="22" t="s"/>
      <c r="I352" s="22" t="s"/>
      <c r="J352" s="22" t="s"/>
      <c r="K352" s="22" t="s"/>
      <c r="L352" s="22" t="s"/>
      <c r="M352" s="22" t="s"/>
      <c r="N352" s="22" t="s"/>
      <c r="O352" s="22" t="s"/>
      <c r="P352" s="22" t="s"/>
      <c r="Q352" s="22" t="s"/>
      <c r="R352" s="22" t="s"/>
      <c r="S352" s="22" t="s"/>
      <c r="T352" s="22" t="s"/>
      <c r="U352" s="22" t="s"/>
      <c r="V352" s="22" t="s"/>
      <c r="W352" s="22" t="s"/>
      <c r="X352" s="22" t="s"/>
      <c r="Y352" s="22" t="s"/>
      <c r="Z352" s="22" t="s"/>
    </row>
    <row r="353" spans="1:26" ht="16.8" customHeight="true">
      <c r="A353" s="41" t="s">
        <v>1163</v>
      </c>
      <c r="B353" s="30" t="s">
        <v>1164</v>
      </c>
      <c r="C353" s="30" t="s">
        <v>165</v>
      </c>
      <c r="D353" s="30" t="s"/>
      <c r="E353" s="31" t="s">
        <v>1165</v>
      </c>
      <c r="F353" s="22" t="s"/>
      <c r="G353" s="22" t="s"/>
      <c r="H353" s="22" t="s"/>
      <c r="I353" s="22" t="s"/>
      <c r="J353" s="22" t="s"/>
      <c r="K353" s="22" t="s"/>
      <c r="L353" s="22" t="s"/>
      <c r="M353" s="22" t="s"/>
      <c r="N353" s="22" t="s"/>
      <c r="O353" s="22" t="s"/>
      <c r="P353" s="22" t="s"/>
      <c r="Q353" s="22" t="s"/>
      <c r="R353" s="22" t="s"/>
      <c r="S353" s="22" t="s"/>
      <c r="T353" s="22" t="s"/>
      <c r="U353" s="22" t="s"/>
      <c r="V353" s="22" t="s"/>
      <c r="W353" s="22" t="s"/>
      <c r="X353" s="22" t="s"/>
      <c r="Y353" s="22" t="s"/>
      <c r="Z353" s="22" t="s"/>
    </row>
    <row r="354" spans="1:26" ht="16.8" customHeight="true">
      <c r="A354" s="41" t="s">
        <v>1166</v>
      </c>
      <c r="B354" s="30" t="s">
        <v>1167</v>
      </c>
      <c r="C354" s="30" t="s">
        <v>165</v>
      </c>
      <c r="D354" s="30" t="s"/>
      <c r="E354" s="31" t="s">
        <v>1168</v>
      </c>
      <c r="F354" s="22" t="s"/>
      <c r="G354" s="22" t="s"/>
      <c r="H354" s="22" t="s"/>
      <c r="I354" s="22" t="s"/>
      <c r="J354" s="22" t="s"/>
      <c r="K354" s="22" t="s"/>
      <c r="L354" s="22" t="s"/>
      <c r="M354" s="22" t="s"/>
      <c r="N354" s="22" t="s"/>
      <c r="O354" s="22" t="s"/>
      <c r="P354" s="22" t="s"/>
      <c r="Q354" s="22" t="s"/>
      <c r="R354" s="22" t="s"/>
      <c r="S354" s="22" t="s"/>
      <c r="T354" s="22" t="s"/>
      <c r="U354" s="22" t="s"/>
      <c r="V354" s="22" t="s"/>
      <c r="W354" s="22" t="s"/>
      <c r="X354" s="22" t="s"/>
      <c r="Y354" s="22" t="s"/>
      <c r="Z354" s="22" t="s"/>
    </row>
    <row r="355" spans="1:26" ht="16.8" customHeight="true">
      <c r="A355" s="41" t="s">
        <v>1169</v>
      </c>
      <c r="B355" s="30" t="s">
        <v>1170</v>
      </c>
      <c r="C355" s="30" t="s">
        <v>165</v>
      </c>
      <c r="D355" s="30" t="s"/>
      <c r="E355" s="31" t="s">
        <v>1171</v>
      </c>
      <c r="F355" s="22" t="s"/>
      <c r="G355" s="22" t="s"/>
      <c r="H355" s="22" t="s"/>
      <c r="I355" s="22" t="s"/>
      <c r="J355" s="22" t="s"/>
      <c r="K355" s="22" t="s"/>
      <c r="L355" s="22" t="s"/>
      <c r="M355" s="22" t="s"/>
      <c r="N355" s="22" t="s"/>
      <c r="O355" s="22" t="s"/>
      <c r="P355" s="22" t="s"/>
      <c r="Q355" s="22" t="s"/>
      <c r="R355" s="22" t="s"/>
      <c r="S355" s="22" t="s"/>
      <c r="T355" s="22" t="s"/>
      <c r="U355" s="22" t="s"/>
      <c r="V355" s="22" t="s"/>
      <c r="W355" s="22" t="s"/>
      <c r="X355" s="22" t="s"/>
      <c r="Y355" s="22" t="s"/>
      <c r="Z355" s="22" t="s"/>
    </row>
    <row r="356" spans="1:26" ht="16.8" customHeight="true">
      <c r="A356" s="41" t="s">
        <v>1172</v>
      </c>
      <c r="B356" s="30" t="s">
        <v>1173</v>
      </c>
      <c r="C356" s="30" t="s">
        <v>236</v>
      </c>
      <c r="D356" s="30" t="s">
        <v>170</v>
      </c>
      <c r="E356" s="31" t="s">
        <v>1174</v>
      </c>
      <c r="F356" s="22" t="s"/>
      <c r="G356" s="22" t="s"/>
      <c r="H356" s="22" t="s"/>
      <c r="I356" s="22" t="s"/>
      <c r="J356" s="22" t="s"/>
      <c r="K356" s="22" t="s"/>
      <c r="L356" s="22" t="s"/>
      <c r="M356" s="22" t="s"/>
      <c r="N356" s="22" t="s"/>
      <c r="O356" s="22" t="s"/>
      <c r="P356" s="22" t="s"/>
      <c r="Q356" s="22" t="s"/>
      <c r="R356" s="22" t="s"/>
      <c r="S356" s="22" t="s"/>
      <c r="T356" s="22" t="s"/>
      <c r="U356" s="22" t="s"/>
      <c r="V356" s="22" t="s"/>
      <c r="W356" s="22" t="s"/>
      <c r="X356" s="22" t="s"/>
      <c r="Y356" s="22" t="s"/>
      <c r="Z356" s="22" t="s"/>
    </row>
    <row r="357" spans="1:26" ht="16.8" customHeight="true">
      <c r="A357" s="41" t="s">
        <v>1175</v>
      </c>
      <c r="B357" s="30" t="s">
        <v>1176</v>
      </c>
      <c r="C357" s="30" t="s">
        <v>165</v>
      </c>
      <c r="D357" s="30" t="s"/>
      <c r="E357" s="31" t="s">
        <v>1177</v>
      </c>
      <c r="F357" s="22" t="s"/>
      <c r="G357" s="22" t="s"/>
      <c r="H357" s="22" t="s"/>
      <c r="I357" s="22" t="s"/>
      <c r="J357" s="22" t="s"/>
      <c r="K357" s="22" t="s"/>
      <c r="L357" s="22" t="s"/>
      <c r="M357" s="22" t="s"/>
      <c r="N357" s="22" t="s"/>
      <c r="O357" s="22" t="s"/>
      <c r="P357" s="22" t="s"/>
      <c r="Q357" s="22" t="s"/>
      <c r="R357" s="22" t="s"/>
      <c r="S357" s="22" t="s"/>
      <c r="T357" s="22" t="s"/>
      <c r="U357" s="22" t="s"/>
      <c r="V357" s="22" t="s"/>
      <c r="W357" s="22" t="s"/>
      <c r="X357" s="22" t="s"/>
      <c r="Y357" s="22" t="s"/>
      <c r="Z357" s="22" t="s"/>
    </row>
    <row r="358" spans="1:26" ht="16.8" customHeight="true">
      <c r="A358" s="41" t="s">
        <v>1178</v>
      </c>
      <c r="B358" s="30" t="s">
        <v>1179</v>
      </c>
      <c r="C358" s="30" t="s">
        <v>165</v>
      </c>
      <c r="D358" s="30" t="s">
        <v>170</v>
      </c>
      <c r="E358" s="31" t="s">
        <v>1180</v>
      </c>
      <c r="F358" s="22" t="s"/>
      <c r="G358" s="22" t="s"/>
      <c r="H358" s="22" t="s"/>
      <c r="I358" s="22" t="s"/>
      <c r="J358" s="22" t="s"/>
      <c r="K358" s="22" t="s"/>
      <c r="L358" s="22" t="s"/>
      <c r="M358" s="22" t="s"/>
      <c r="N358" s="22" t="s"/>
      <c r="O358" s="22" t="s"/>
      <c r="P358" s="22" t="s"/>
      <c r="Q358" s="22" t="s"/>
      <c r="R358" s="22" t="s"/>
      <c r="S358" s="22" t="s"/>
      <c r="T358" s="22" t="s"/>
      <c r="U358" s="22" t="s"/>
      <c r="V358" s="22" t="s"/>
      <c r="W358" s="22" t="s"/>
      <c r="X358" s="22" t="s"/>
      <c r="Y358" s="22" t="s"/>
      <c r="Z358" s="22" t="s"/>
    </row>
    <row r="359" spans="1:26" ht="16.8" customHeight="true">
      <c r="A359" s="41" t="s">
        <v>1181</v>
      </c>
      <c r="B359" s="30" t="s">
        <v>1182</v>
      </c>
      <c r="C359" s="30" t="s">
        <v>165</v>
      </c>
      <c r="D359" s="30" t="s"/>
      <c r="E359" s="31" t="s">
        <v>1183</v>
      </c>
      <c r="F359" s="22" t="s"/>
      <c r="G359" s="22" t="s"/>
      <c r="H359" s="22" t="s"/>
      <c r="I359" s="22" t="s"/>
      <c r="J359" s="22" t="s"/>
      <c r="K359" s="22" t="s"/>
      <c r="L359" s="22" t="s"/>
      <c r="M359" s="22" t="s"/>
      <c r="N359" s="22" t="s"/>
      <c r="O359" s="22" t="s"/>
      <c r="P359" s="22" t="s"/>
      <c r="Q359" s="22" t="s"/>
      <c r="R359" s="22" t="s"/>
      <c r="S359" s="22" t="s"/>
      <c r="T359" s="22" t="s"/>
      <c r="U359" s="22" t="s"/>
      <c r="V359" s="22" t="s"/>
      <c r="W359" s="22" t="s"/>
      <c r="X359" s="22" t="s"/>
      <c r="Y359" s="22" t="s"/>
      <c r="Z359" s="22" t="s"/>
    </row>
    <row r="360" spans="1:26" ht="16.8" customHeight="true">
      <c r="A360" s="41" t="s">
        <v>1065</v>
      </c>
      <c r="B360" s="30" t="s">
        <v>1066</v>
      </c>
      <c r="C360" s="30" t="s">
        <v>165</v>
      </c>
      <c r="D360" s="30" t="s"/>
      <c r="E360" s="31" t="s">
        <v>1184</v>
      </c>
      <c r="F360" s="22" t="s"/>
      <c r="G360" s="22" t="s"/>
      <c r="H360" s="22" t="s"/>
      <c r="I360" s="22" t="s"/>
      <c r="J360" s="22" t="s"/>
      <c r="K360" s="22" t="s"/>
      <c r="L360" s="22" t="s"/>
      <c r="M360" s="22" t="s"/>
      <c r="N360" s="22" t="s"/>
      <c r="O360" s="22" t="s"/>
      <c r="P360" s="22" t="s"/>
      <c r="Q360" s="22" t="s"/>
      <c r="R360" s="22" t="s"/>
      <c r="S360" s="22" t="s"/>
      <c r="T360" s="22" t="s"/>
      <c r="U360" s="22" t="s"/>
      <c r="V360" s="22" t="s"/>
      <c r="W360" s="22" t="s"/>
      <c r="X360" s="22" t="s"/>
      <c r="Y360" s="22" t="s"/>
      <c r="Z360" s="22" t="s"/>
    </row>
    <row r="361" spans="1:26" ht="16.8" customHeight="true">
      <c r="A361" s="47" t="s">
        <v>1185</v>
      </c>
      <c r="B361" s="30" t="s">
        <v>1186</v>
      </c>
      <c r="C361" s="30" t="s">
        <v>165</v>
      </c>
      <c r="D361" s="30" t="s"/>
      <c r="E361" s="31" t="s">
        <v>1187</v>
      </c>
      <c r="F361" s="22" t="s"/>
      <c r="G361" s="22" t="s"/>
      <c r="H361" s="22" t="s"/>
      <c r="I361" s="22" t="s"/>
      <c r="J361" s="22" t="s"/>
      <c r="K361" s="22" t="s"/>
      <c r="L361" s="22" t="s"/>
      <c r="M361" s="22" t="s"/>
      <c r="N361" s="22" t="s"/>
      <c r="O361" s="22" t="s"/>
      <c r="P361" s="22" t="s"/>
      <c r="Q361" s="22" t="s"/>
      <c r="R361" s="22" t="s"/>
      <c r="S361" s="22" t="s"/>
      <c r="T361" s="22" t="s"/>
      <c r="U361" s="22" t="s"/>
      <c r="V361" s="22" t="s"/>
      <c r="W361" s="22" t="s"/>
      <c r="X361" s="22" t="s"/>
      <c r="Y361" s="22" t="s"/>
      <c r="Z361" s="22" t="s"/>
    </row>
    <row r="362" spans="1:26" ht="16.8" customHeight="true">
      <c r="A362" s="47" t="s">
        <v>1188</v>
      </c>
      <c r="B362" s="30" t="s">
        <v>1189</v>
      </c>
      <c r="C362" s="30" t="s">
        <v>165</v>
      </c>
      <c r="D362" s="30" t="s"/>
      <c r="E362" s="31" t="s">
        <v>1190</v>
      </c>
      <c r="F362" s="22" t="s"/>
      <c r="G362" s="22" t="s"/>
      <c r="H362" s="22" t="s"/>
      <c r="I362" s="22" t="s"/>
      <c r="J362" s="22" t="s"/>
      <c r="K362" s="22" t="s"/>
      <c r="L362" s="22" t="s"/>
      <c r="M362" s="22" t="s"/>
      <c r="N362" s="22" t="s"/>
      <c r="O362" s="22" t="s"/>
      <c r="P362" s="22" t="s"/>
      <c r="Q362" s="22" t="s"/>
      <c r="R362" s="22" t="s"/>
      <c r="S362" s="22" t="s"/>
      <c r="T362" s="22" t="s"/>
      <c r="U362" s="22" t="s"/>
      <c r="V362" s="22" t="s"/>
      <c r="W362" s="22" t="s"/>
      <c r="X362" s="22" t="s"/>
      <c r="Y362" s="22" t="s"/>
      <c r="Z362" s="22" t="s"/>
    </row>
    <row r="363" spans="1:26" ht="16.8" customHeight="true">
      <c r="A363" s="47" t="s">
        <v>1191</v>
      </c>
      <c r="B363" s="30" t="s">
        <v>1192</v>
      </c>
      <c r="C363" s="30" t="s">
        <v>165</v>
      </c>
      <c r="D363" s="30" t="s"/>
      <c r="E363" s="31" t="s">
        <v>166</v>
      </c>
      <c r="F363" s="22" t="s"/>
      <c r="G363" s="22" t="s"/>
      <c r="H363" s="22" t="s"/>
      <c r="I363" s="22" t="s"/>
      <c r="J363" s="22" t="s"/>
      <c r="K363" s="22" t="s"/>
      <c r="L363" s="22" t="s"/>
      <c r="M363" s="22" t="s"/>
      <c r="N363" s="22" t="s"/>
      <c r="O363" s="22" t="s"/>
      <c r="P363" s="22" t="s"/>
      <c r="Q363" s="22" t="s"/>
      <c r="R363" s="22" t="s"/>
      <c r="S363" s="22" t="s"/>
      <c r="T363" s="22" t="s"/>
      <c r="U363" s="22" t="s"/>
      <c r="V363" s="22" t="s"/>
      <c r="W363" s="22" t="s"/>
      <c r="X363" s="22" t="s"/>
      <c r="Y363" s="22" t="s"/>
      <c r="Z363" s="22" t="s"/>
    </row>
    <row r="364" spans="1:26" ht="16.8" customHeight="true">
      <c r="A364" s="47" t="s">
        <v>1193</v>
      </c>
      <c r="B364" s="30" t="s">
        <v>1194</v>
      </c>
      <c r="C364" s="30" t="s">
        <v>351</v>
      </c>
      <c r="D364" s="30" t="s">
        <v>1195</v>
      </c>
      <c r="E364" s="31" t="s">
        <v>1196</v>
      </c>
      <c r="F364" s="22" t="s"/>
      <c r="G364" s="22" t="s"/>
      <c r="H364" s="22" t="s"/>
      <c r="I364" s="22" t="s"/>
      <c r="J364" s="22" t="s"/>
      <c r="K364" s="22" t="s"/>
      <c r="L364" s="22" t="s"/>
      <c r="M364" s="22" t="s"/>
      <c r="N364" s="22" t="s"/>
      <c r="O364" s="22" t="s"/>
      <c r="P364" s="22" t="s"/>
      <c r="Q364" s="22" t="s"/>
      <c r="R364" s="22" t="s"/>
      <c r="S364" s="22" t="s"/>
      <c r="T364" s="22" t="s"/>
      <c r="U364" s="22" t="s"/>
      <c r="V364" s="22" t="s"/>
      <c r="W364" s="22" t="s"/>
      <c r="X364" s="22" t="s"/>
      <c r="Y364" s="22" t="s"/>
      <c r="Z364" s="22" t="s"/>
    </row>
    <row r="365" spans="1:26" ht="16.8" customHeight="true">
      <c r="A365" s="47" t="s">
        <v>1197</v>
      </c>
      <c r="B365" s="30" t="s">
        <v>1198</v>
      </c>
      <c r="C365" s="30" t="s">
        <v>351</v>
      </c>
      <c r="D365" s="30" t="s">
        <v>1199</v>
      </c>
      <c r="E365" s="31" t="s">
        <v>1200</v>
      </c>
      <c r="F365" s="22" t="s"/>
      <c r="G365" s="22" t="s"/>
      <c r="H365" s="22" t="s"/>
      <c r="I365" s="22" t="s"/>
      <c r="J365" s="22" t="s"/>
      <c r="K365" s="22" t="s"/>
      <c r="L365" s="22" t="s"/>
      <c r="M365" s="22" t="s"/>
      <c r="N365" s="22" t="s"/>
      <c r="O365" s="22" t="s"/>
      <c r="P365" s="22" t="s"/>
      <c r="Q365" s="22" t="s"/>
      <c r="R365" s="22" t="s"/>
      <c r="S365" s="22" t="s"/>
      <c r="T365" s="22" t="s"/>
      <c r="U365" s="22" t="s"/>
      <c r="V365" s="22" t="s"/>
      <c r="W365" s="22" t="s"/>
      <c r="X365" s="22" t="s"/>
      <c r="Y365" s="22" t="s"/>
      <c r="Z365" s="22" t="s"/>
    </row>
    <row r="366" spans="1:26" ht="16.8" customHeight="true">
      <c r="A366" s="47" t="s">
        <v>1201</v>
      </c>
      <c r="B366" s="30" t="s">
        <v>1202</v>
      </c>
      <c r="C366" s="30" t="s">
        <v>443</v>
      </c>
      <c r="D366" s="30" t="s">
        <v>153</v>
      </c>
      <c r="E366" s="31" t="s">
        <v>1203</v>
      </c>
      <c r="F366" s="22" t="s"/>
      <c r="G366" s="22" t="s"/>
      <c r="H366" s="22" t="s"/>
      <c r="I366" s="22" t="s"/>
      <c r="J366" s="22" t="s"/>
      <c r="K366" s="22" t="s"/>
      <c r="L366" s="22" t="s"/>
      <c r="M366" s="22" t="s"/>
      <c r="N366" s="22" t="s"/>
      <c r="O366" s="22" t="s"/>
      <c r="P366" s="22" t="s"/>
      <c r="Q366" s="22" t="s"/>
      <c r="R366" s="22" t="s"/>
      <c r="S366" s="22" t="s"/>
      <c r="T366" s="22" t="s"/>
      <c r="U366" s="22" t="s"/>
      <c r="V366" s="22" t="s"/>
      <c r="W366" s="22" t="s"/>
      <c r="X366" s="22" t="s"/>
      <c r="Y366" s="22" t="s"/>
      <c r="Z366" s="22" t="s"/>
    </row>
    <row r="367" spans="1:26" ht="16.8" customHeight="true">
      <c r="A367" s="47" t="s">
        <v>768</v>
      </c>
      <c r="B367" s="30" t="s">
        <v>769</v>
      </c>
      <c r="C367" s="30" t="s">
        <v>169</v>
      </c>
      <c r="D367" s="30" t="s">
        <v>232</v>
      </c>
      <c r="E367" s="31" t="s">
        <v>1204</v>
      </c>
      <c r="F367" s="22" t="s"/>
      <c r="G367" s="22" t="s"/>
      <c r="H367" s="22" t="s"/>
      <c r="I367" s="22" t="s"/>
      <c r="J367" s="22" t="s"/>
      <c r="K367" s="22" t="s"/>
      <c r="L367" s="22" t="s"/>
      <c r="M367" s="22" t="s"/>
      <c r="N367" s="22" t="s"/>
      <c r="O367" s="22" t="s"/>
      <c r="P367" s="22" t="s"/>
      <c r="Q367" s="22" t="s"/>
      <c r="R367" s="22" t="s"/>
      <c r="S367" s="22" t="s"/>
      <c r="T367" s="22" t="s"/>
      <c r="U367" s="22" t="s"/>
      <c r="V367" s="22" t="s"/>
      <c r="W367" s="22" t="s"/>
      <c r="X367" s="22" t="s"/>
      <c r="Y367" s="22" t="s"/>
      <c r="Z367" s="22" t="s"/>
    </row>
    <row r="368" spans="1:26" ht="16.8" customHeight="true">
      <c r="A368" s="47" t="s">
        <v>1205</v>
      </c>
      <c r="B368" s="30" t="s">
        <v>1206</v>
      </c>
      <c r="C368" s="30" t="s">
        <v>165</v>
      </c>
      <c r="D368" s="30" t="s"/>
      <c r="E368" s="31" t="s">
        <v>1207</v>
      </c>
      <c r="F368" s="22" t="s"/>
      <c r="G368" s="22" t="s"/>
      <c r="H368" s="22" t="s"/>
      <c r="I368" s="22" t="s"/>
      <c r="J368" s="22" t="s"/>
      <c r="K368" s="22" t="s"/>
      <c r="L368" s="22" t="s"/>
      <c r="M368" s="22" t="s"/>
      <c r="N368" s="22" t="s"/>
      <c r="O368" s="22" t="s"/>
      <c r="P368" s="22" t="s"/>
      <c r="Q368" s="22" t="s"/>
      <c r="R368" s="22" t="s"/>
      <c r="S368" s="22" t="s"/>
      <c r="T368" s="22" t="s"/>
      <c r="U368" s="22" t="s"/>
      <c r="V368" s="22" t="s"/>
      <c r="W368" s="22" t="s"/>
      <c r="X368" s="22" t="s"/>
      <c r="Y368" s="22" t="s"/>
      <c r="Z368" s="22" t="s"/>
    </row>
    <row r="369" spans="1:26" ht="16.8" customHeight="true">
      <c r="A369" s="47" t="s">
        <v>1208</v>
      </c>
      <c r="B369" s="30" t="s">
        <v>1209</v>
      </c>
      <c r="C369" s="30" t="s">
        <v>443</v>
      </c>
      <c r="D369" s="30" t="s">
        <v>232</v>
      </c>
      <c r="E369" s="31" t="s">
        <v>1210</v>
      </c>
      <c r="F369" s="22" t="s"/>
      <c r="G369" s="22" t="s"/>
      <c r="H369" s="22" t="s"/>
      <c r="I369" s="22" t="s"/>
      <c r="J369" s="22" t="s"/>
      <c r="K369" s="22" t="s"/>
      <c r="L369" s="22" t="s"/>
      <c r="M369" s="22" t="s"/>
      <c r="N369" s="22" t="s"/>
      <c r="O369" s="22" t="s"/>
      <c r="P369" s="22" t="s"/>
      <c r="Q369" s="22" t="s"/>
      <c r="R369" s="22" t="s"/>
      <c r="S369" s="22" t="s"/>
      <c r="T369" s="22" t="s"/>
      <c r="U369" s="22" t="s"/>
      <c r="V369" s="22" t="s"/>
      <c r="W369" s="22" t="s"/>
      <c r="X369" s="22" t="s"/>
      <c r="Y369" s="22" t="s"/>
      <c r="Z369" s="22" t="s"/>
    </row>
    <row r="370" spans="1:26" ht="16.8" customHeight="true">
      <c r="A370" s="47" t="s">
        <v>707</v>
      </c>
      <c r="B370" s="30" t="s">
        <v>708</v>
      </c>
      <c r="C370" s="30" t="s">
        <v>395</v>
      </c>
      <c r="D370" s="30" t="s">
        <v>1211</v>
      </c>
      <c r="E370" s="31" t="s">
        <v>1212</v>
      </c>
      <c r="F370" s="22" t="s"/>
      <c r="G370" s="22" t="s"/>
      <c r="H370" s="22" t="s"/>
      <c r="I370" s="22" t="s"/>
      <c r="J370" s="22" t="s"/>
      <c r="K370" s="22" t="s"/>
      <c r="L370" s="22" t="s"/>
      <c r="M370" s="22" t="s"/>
      <c r="N370" s="22" t="s"/>
      <c r="O370" s="22" t="s"/>
      <c r="P370" s="22" t="s"/>
      <c r="Q370" s="22" t="s"/>
      <c r="R370" s="22" t="s"/>
      <c r="S370" s="22" t="s"/>
      <c r="T370" s="22" t="s"/>
      <c r="U370" s="22" t="s"/>
      <c r="V370" s="22" t="s"/>
      <c r="W370" s="22" t="s"/>
      <c r="X370" s="22" t="s"/>
      <c r="Y370" s="22" t="s"/>
      <c r="Z370" s="22" t="s"/>
    </row>
    <row r="371" spans="1:26" ht="16.8" customHeight="true">
      <c r="A371" s="47" t="s">
        <v>1213</v>
      </c>
      <c r="B371" s="30" t="s">
        <v>1214</v>
      </c>
      <c r="C371" s="30" t="s">
        <v>165</v>
      </c>
      <c r="D371" s="30" t="s"/>
      <c r="E371" s="31" t="s">
        <v>1215</v>
      </c>
      <c r="F371" s="22" t="s"/>
      <c r="G371" s="22" t="s"/>
      <c r="H371" s="22" t="s"/>
      <c r="I371" s="22" t="s"/>
      <c r="J371" s="22" t="s"/>
      <c r="K371" s="22" t="s"/>
      <c r="L371" s="22" t="s"/>
      <c r="M371" s="22" t="s"/>
      <c r="N371" s="22" t="s"/>
      <c r="O371" s="22" t="s"/>
      <c r="P371" s="22" t="s"/>
      <c r="Q371" s="22" t="s"/>
      <c r="R371" s="22" t="s"/>
      <c r="S371" s="22" t="s"/>
      <c r="T371" s="22" t="s"/>
      <c r="U371" s="22" t="s"/>
      <c r="V371" s="22" t="s"/>
      <c r="W371" s="22" t="s"/>
      <c r="X371" s="22" t="s"/>
      <c r="Y371" s="22" t="s"/>
      <c r="Z371" s="22" t="s"/>
    </row>
    <row r="372" spans="1:26" ht="16.8" customHeight="true">
      <c r="A372" s="41" t="s">
        <v>1216</v>
      </c>
      <c r="B372" s="30" t="s">
        <v>1217</v>
      </c>
      <c r="C372" s="30" t="s">
        <v>152</v>
      </c>
      <c r="D372" s="30" t="s">
        <v>170</v>
      </c>
      <c r="E372" s="31" t="s">
        <v>1218</v>
      </c>
      <c r="F372" s="22" t="s"/>
      <c r="G372" s="22" t="s"/>
      <c r="H372" s="22" t="s"/>
      <c r="I372" s="22" t="s"/>
      <c r="J372" s="22" t="s"/>
      <c r="K372" s="22" t="s"/>
      <c r="L372" s="22" t="s"/>
      <c r="M372" s="22" t="s"/>
      <c r="N372" s="22" t="s"/>
      <c r="O372" s="22" t="s"/>
      <c r="P372" s="22" t="s"/>
      <c r="Q372" s="22" t="s"/>
      <c r="R372" s="22" t="s"/>
      <c r="S372" s="22" t="s"/>
      <c r="T372" s="22" t="s"/>
      <c r="U372" s="22" t="s"/>
      <c r="V372" s="22" t="s"/>
      <c r="W372" s="22" t="s"/>
      <c r="X372" s="22" t="s"/>
      <c r="Y372" s="22" t="s"/>
      <c r="Z372" s="22" t="s"/>
    </row>
    <row r="373" spans="1:26" ht="16.8" customHeight="true">
      <c r="A373" s="47" t="s">
        <v>1219</v>
      </c>
      <c r="B373" s="30" t="s">
        <v>1220</v>
      </c>
      <c r="C373" s="30" t="s">
        <v>165</v>
      </c>
      <c r="D373" s="30" t="s"/>
      <c r="E373" s="31" t="s">
        <v>1221</v>
      </c>
      <c r="F373" s="22" t="s"/>
      <c r="G373" s="22" t="s"/>
      <c r="H373" s="22" t="s"/>
      <c r="I373" s="22" t="s"/>
      <c r="J373" s="22" t="s"/>
      <c r="K373" s="22" t="s"/>
      <c r="L373" s="22" t="s"/>
      <c r="M373" s="22" t="s"/>
      <c r="N373" s="22" t="s"/>
      <c r="O373" s="22" t="s"/>
      <c r="P373" s="22" t="s"/>
      <c r="Q373" s="22" t="s"/>
      <c r="R373" s="22" t="s"/>
      <c r="S373" s="22" t="s"/>
      <c r="T373" s="22" t="s"/>
      <c r="U373" s="22" t="s"/>
      <c r="V373" s="22" t="s"/>
      <c r="W373" s="22" t="s"/>
      <c r="X373" s="22" t="s"/>
      <c r="Y373" s="22" t="s"/>
      <c r="Z373" s="22" t="s"/>
    </row>
    <row r="374" spans="1:26" ht="16.8" customHeight="true">
      <c r="A374" s="47" t="s">
        <v>1222</v>
      </c>
      <c r="B374" s="30" t="s">
        <v>1223</v>
      </c>
      <c r="C374" s="30" t="s">
        <v>165</v>
      </c>
      <c r="D374" s="30" t="s"/>
      <c r="E374" s="31" t="s">
        <v>1224</v>
      </c>
      <c r="F374" s="22" t="s"/>
      <c r="G374" s="22" t="s"/>
      <c r="H374" s="22" t="s"/>
      <c r="I374" s="22" t="s"/>
      <c r="J374" s="22" t="s"/>
      <c r="K374" s="22" t="s"/>
      <c r="L374" s="22" t="s"/>
      <c r="M374" s="22" t="s"/>
      <c r="N374" s="22" t="s"/>
      <c r="O374" s="22" t="s"/>
      <c r="P374" s="22" t="s"/>
      <c r="Q374" s="22" t="s"/>
      <c r="R374" s="22" t="s"/>
      <c r="S374" s="22" t="s"/>
      <c r="T374" s="22" t="s"/>
      <c r="U374" s="22" t="s"/>
      <c r="V374" s="22" t="s"/>
      <c r="W374" s="22" t="s"/>
      <c r="X374" s="22" t="s"/>
      <c r="Y374" s="22" t="s"/>
      <c r="Z374" s="22" t="s"/>
    </row>
    <row r="375" spans="1:26" ht="16.8" customHeight="true">
      <c r="A375" s="47" t="s">
        <v>916</v>
      </c>
      <c r="B375" s="30" t="s">
        <v>917</v>
      </c>
      <c r="C375" s="30" t="s">
        <v>165</v>
      </c>
      <c r="D375" s="30" t="s">
        <v>232</v>
      </c>
      <c r="E375" s="31" t="s">
        <v>1225</v>
      </c>
      <c r="F375" s="22" t="s"/>
      <c r="G375" s="22" t="s"/>
      <c r="H375" s="22" t="s"/>
      <c r="I375" s="22" t="s"/>
      <c r="J375" s="22" t="s"/>
      <c r="K375" s="22" t="s"/>
      <c r="L375" s="22" t="s"/>
      <c r="M375" s="22" t="s"/>
      <c r="N375" s="22" t="s"/>
      <c r="O375" s="22" t="s"/>
      <c r="P375" s="22" t="s"/>
      <c r="Q375" s="22" t="s"/>
      <c r="R375" s="22" t="s"/>
      <c r="S375" s="22" t="s"/>
      <c r="T375" s="22" t="s"/>
      <c r="U375" s="22" t="s"/>
      <c r="V375" s="22" t="s"/>
      <c r="W375" s="22" t="s"/>
      <c r="X375" s="22" t="s"/>
      <c r="Y375" s="22" t="s"/>
      <c r="Z375" s="22" t="s"/>
    </row>
    <row r="376" spans="1:26" ht="16.8" customHeight="true">
      <c r="A376" s="47" t="s">
        <v>1226</v>
      </c>
      <c r="B376" s="30" t="s">
        <v>1227</v>
      </c>
      <c r="C376" s="30" t="s">
        <v>165</v>
      </c>
      <c r="D376" s="30" t="s"/>
      <c r="E376" s="31" t="s">
        <v>1228</v>
      </c>
      <c r="F376" s="22" t="s"/>
      <c r="G376" s="22" t="s"/>
      <c r="H376" s="22" t="s"/>
      <c r="I376" s="22" t="s"/>
      <c r="J376" s="22" t="s"/>
      <c r="K376" s="22" t="s"/>
      <c r="L376" s="22" t="s"/>
      <c r="M376" s="22" t="s"/>
      <c r="N376" s="22" t="s"/>
      <c r="O376" s="22" t="s"/>
      <c r="P376" s="22" t="s"/>
      <c r="Q376" s="22" t="s"/>
      <c r="R376" s="22" t="s"/>
      <c r="S376" s="22" t="s"/>
      <c r="T376" s="22" t="s"/>
      <c r="U376" s="22" t="s"/>
      <c r="V376" s="22" t="s"/>
      <c r="W376" s="22" t="s"/>
      <c r="X376" s="22" t="s"/>
      <c r="Y376" s="22" t="s"/>
      <c r="Z376" s="22" t="s"/>
    </row>
    <row r="377" spans="1:26" ht="16.8" customHeight="true">
      <c r="A377" s="47" t="s">
        <v>1229</v>
      </c>
      <c r="B377" s="30" t="s">
        <v>1230</v>
      </c>
      <c r="C377" s="30" t="s">
        <v>165</v>
      </c>
      <c r="D377" s="30" t="s"/>
      <c r="E377" s="31" t="s">
        <v>1231</v>
      </c>
      <c r="F377" s="22" t="s"/>
      <c r="G377" s="22" t="s"/>
      <c r="H377" s="22" t="s"/>
      <c r="I377" s="22" t="s"/>
      <c r="J377" s="22" t="s"/>
      <c r="K377" s="22" t="s"/>
      <c r="L377" s="22" t="s"/>
      <c r="M377" s="22" t="s"/>
      <c r="N377" s="22" t="s"/>
      <c r="O377" s="22" t="s"/>
      <c r="P377" s="22" t="s"/>
      <c r="Q377" s="22" t="s"/>
      <c r="R377" s="22" t="s"/>
      <c r="S377" s="22" t="s"/>
      <c r="T377" s="22" t="s"/>
      <c r="U377" s="22" t="s"/>
      <c r="V377" s="22" t="s"/>
      <c r="W377" s="22" t="s"/>
      <c r="X377" s="22" t="s"/>
      <c r="Y377" s="22" t="s"/>
      <c r="Z377" s="22" t="s"/>
    </row>
    <row r="378" spans="1:26" ht="16.8" customHeight="true">
      <c r="A378" s="41" t="s">
        <v>641</v>
      </c>
      <c r="B378" s="30" t="s">
        <v>642</v>
      </c>
      <c r="C378" s="30" t="s">
        <v>1232</v>
      </c>
      <c r="D378" s="30" t="s">
        <v>232</v>
      </c>
      <c r="E378" s="31" t="s">
        <v>1233</v>
      </c>
      <c r="F378" s="22" t="s"/>
      <c r="G378" s="22" t="s"/>
      <c r="H378" s="22" t="s"/>
      <c r="I378" s="22" t="s"/>
      <c r="J378" s="22" t="s"/>
      <c r="K378" s="22" t="s"/>
      <c r="L378" s="22" t="s"/>
      <c r="M378" s="22" t="s"/>
      <c r="N378" s="22" t="s"/>
      <c r="O378" s="22" t="s"/>
      <c r="P378" s="22" t="s"/>
      <c r="Q378" s="22" t="s"/>
      <c r="R378" s="22" t="s"/>
      <c r="S378" s="22" t="s"/>
      <c r="T378" s="22" t="s"/>
      <c r="U378" s="22" t="s"/>
      <c r="V378" s="22" t="s"/>
      <c r="W378" s="22" t="s"/>
      <c r="X378" s="22" t="s"/>
      <c r="Y378" s="22" t="s"/>
      <c r="Z378" s="22" t="s"/>
    </row>
    <row r="379" spans="1:26" ht="16.8" customHeight="true">
      <c r="A379" s="47" t="s">
        <v>1234</v>
      </c>
      <c r="B379" s="30" t="s">
        <v>1235</v>
      </c>
      <c r="C379" s="30" t="s">
        <v>165</v>
      </c>
      <c r="D379" s="30" t="s"/>
      <c r="E379" s="31" t="s">
        <v>1236</v>
      </c>
      <c r="F379" s="22" t="s"/>
      <c r="G379" s="22" t="s"/>
      <c r="H379" s="22" t="s"/>
      <c r="I379" s="22" t="s"/>
      <c r="J379" s="22" t="s"/>
      <c r="K379" s="22" t="s"/>
      <c r="L379" s="22" t="s"/>
      <c r="M379" s="22" t="s"/>
      <c r="N379" s="22" t="s"/>
      <c r="O379" s="22" t="s"/>
      <c r="P379" s="22" t="s"/>
      <c r="Q379" s="22" t="s"/>
      <c r="R379" s="22" t="s"/>
      <c r="S379" s="22" t="s"/>
      <c r="T379" s="22" t="s"/>
      <c r="U379" s="22" t="s"/>
      <c r="V379" s="22" t="s"/>
      <c r="W379" s="22" t="s"/>
      <c r="X379" s="22" t="s"/>
      <c r="Y379" s="22" t="s"/>
      <c r="Z379" s="22" t="s"/>
    </row>
    <row r="380" spans="1:26" ht="16.8" customHeight="true">
      <c r="A380" s="47" t="s">
        <v>1237</v>
      </c>
      <c r="B380" s="30" t="s">
        <v>1238</v>
      </c>
      <c r="C380" s="30" t="s">
        <v>165</v>
      </c>
      <c r="D380" s="30" t="s"/>
      <c r="E380" s="31" t="s">
        <v>1239</v>
      </c>
      <c r="F380" s="22" t="s"/>
      <c r="G380" s="22" t="s"/>
      <c r="H380" s="22" t="s"/>
      <c r="I380" s="22" t="s"/>
      <c r="J380" s="22" t="s"/>
      <c r="K380" s="22" t="s"/>
      <c r="L380" s="22" t="s"/>
      <c r="M380" s="22" t="s"/>
      <c r="N380" s="22" t="s"/>
      <c r="O380" s="22" t="s"/>
      <c r="P380" s="22" t="s"/>
      <c r="Q380" s="22" t="s"/>
      <c r="R380" s="22" t="s"/>
      <c r="S380" s="22" t="s"/>
      <c r="T380" s="22" t="s"/>
      <c r="U380" s="22" t="s"/>
      <c r="V380" s="22" t="s"/>
      <c r="W380" s="22" t="s"/>
      <c r="X380" s="22" t="s"/>
      <c r="Y380" s="22" t="s"/>
      <c r="Z380" s="22" t="s"/>
    </row>
    <row r="381" spans="1:26" ht="16.8" customHeight="true">
      <c r="A381" s="47" t="s">
        <v>1240</v>
      </c>
      <c r="B381" s="30" t="s">
        <v>1241</v>
      </c>
      <c r="C381" s="30" t="s">
        <v>165</v>
      </c>
      <c r="D381" s="30" t="s"/>
      <c r="E381" s="31" t="s">
        <v>1242</v>
      </c>
      <c r="F381" s="22" t="s"/>
      <c r="G381" s="22" t="s"/>
      <c r="H381" s="22" t="s"/>
      <c r="I381" s="22" t="s"/>
      <c r="J381" s="22" t="s"/>
      <c r="K381" s="22" t="s"/>
      <c r="L381" s="22" t="s"/>
      <c r="M381" s="22" t="s"/>
      <c r="N381" s="22" t="s"/>
      <c r="O381" s="22" t="s"/>
      <c r="P381" s="22" t="s"/>
      <c r="Q381" s="22" t="s"/>
      <c r="R381" s="22" t="s"/>
      <c r="S381" s="22" t="s"/>
      <c r="T381" s="22" t="s"/>
      <c r="U381" s="22" t="s"/>
      <c r="V381" s="22" t="s"/>
      <c r="W381" s="22" t="s"/>
      <c r="X381" s="22" t="s"/>
      <c r="Y381" s="22" t="s"/>
      <c r="Z381" s="22" t="s"/>
    </row>
    <row r="382" spans="1:26" ht="16.8" customHeight="true">
      <c r="A382" s="47" t="s">
        <v>1243</v>
      </c>
      <c r="B382" s="30" t="s">
        <v>1244</v>
      </c>
      <c r="C382" s="30" t="s">
        <v>165</v>
      </c>
      <c r="D382" s="30" t="s"/>
      <c r="E382" s="31" t="s">
        <v>1245</v>
      </c>
      <c r="F382" s="22" t="s"/>
      <c r="G382" s="22" t="s"/>
      <c r="H382" s="22" t="s"/>
      <c r="I382" s="22" t="s"/>
      <c r="J382" s="22" t="s"/>
      <c r="K382" s="22" t="s"/>
      <c r="L382" s="22" t="s"/>
      <c r="M382" s="22" t="s"/>
      <c r="N382" s="22" t="s"/>
      <c r="O382" s="22" t="s"/>
      <c r="P382" s="22" t="s"/>
      <c r="Q382" s="22" t="s"/>
      <c r="R382" s="22" t="s"/>
      <c r="S382" s="22" t="s"/>
      <c r="T382" s="22" t="s"/>
      <c r="U382" s="22" t="s"/>
      <c r="V382" s="22" t="s"/>
      <c r="W382" s="22" t="s"/>
      <c r="X382" s="22" t="s"/>
      <c r="Y382" s="22" t="s"/>
      <c r="Z382" s="22" t="s"/>
    </row>
    <row r="383" spans="1:26" ht="16.8" customHeight="true">
      <c r="A383" s="47" t="s">
        <v>1246</v>
      </c>
      <c r="B383" s="30" t="s">
        <v>1247</v>
      </c>
      <c r="C383" s="30" t="s">
        <v>165</v>
      </c>
      <c r="D383" s="30" t="s">
        <v>1248</v>
      </c>
      <c r="E383" s="31" t="s">
        <v>1249</v>
      </c>
      <c r="F383" s="22" t="s"/>
      <c r="G383" s="22" t="s"/>
      <c r="H383" s="22" t="s"/>
      <c r="I383" s="22" t="s"/>
      <c r="J383" s="22" t="s"/>
      <c r="K383" s="22" t="s"/>
      <c r="L383" s="22" t="s"/>
      <c r="M383" s="22" t="s"/>
      <c r="N383" s="22" t="s"/>
      <c r="O383" s="22" t="s"/>
      <c r="P383" s="22" t="s"/>
      <c r="Q383" s="22" t="s"/>
      <c r="R383" s="22" t="s"/>
      <c r="S383" s="22" t="s"/>
      <c r="T383" s="22" t="s"/>
      <c r="U383" s="22" t="s"/>
      <c r="V383" s="22" t="s"/>
      <c r="W383" s="22" t="s"/>
      <c r="X383" s="22" t="s"/>
      <c r="Y383" s="22" t="s"/>
      <c r="Z383" s="22" t="s"/>
    </row>
    <row r="384" spans="1:26" ht="16.8" customHeight="true">
      <c r="A384" s="41" t="s">
        <v>726</v>
      </c>
      <c r="B384" s="30" t="s">
        <v>727</v>
      </c>
      <c r="C384" s="30" t="s">
        <v>443</v>
      </c>
      <c r="D384" s="30" t="s">
        <v>918</v>
      </c>
      <c r="E384" s="31" t="s">
        <v>1250</v>
      </c>
      <c r="F384" s="22" t="s"/>
      <c r="G384" s="22" t="s"/>
      <c r="H384" s="22" t="s"/>
      <c r="I384" s="22" t="s"/>
      <c r="J384" s="22" t="s"/>
      <c r="K384" s="22" t="s"/>
      <c r="L384" s="22" t="s"/>
      <c r="M384" s="22" t="s"/>
      <c r="N384" s="22" t="s"/>
      <c r="O384" s="22" t="s"/>
      <c r="P384" s="22" t="s"/>
      <c r="Q384" s="22" t="s"/>
      <c r="R384" s="22" t="s"/>
      <c r="S384" s="22" t="s"/>
      <c r="T384" s="22" t="s"/>
      <c r="U384" s="22" t="s"/>
      <c r="V384" s="22" t="s"/>
      <c r="W384" s="22" t="s"/>
      <c r="X384" s="22" t="s"/>
      <c r="Y384" s="22" t="s"/>
      <c r="Z384" s="22" t="s"/>
    </row>
    <row r="385" spans="1:26" ht="16.8" customHeight="true">
      <c r="A385" s="47" t="s">
        <v>1251</v>
      </c>
      <c r="B385" s="30" t="s">
        <v>1252</v>
      </c>
      <c r="C385" s="30" t="s">
        <v>165</v>
      </c>
      <c r="D385" s="30" t="s"/>
      <c r="E385" s="31" t="s">
        <v>1253</v>
      </c>
      <c r="F385" s="22" t="s"/>
      <c r="G385" s="22" t="s"/>
      <c r="H385" s="22" t="s"/>
      <c r="I385" s="22" t="s"/>
      <c r="J385" s="22" t="s"/>
      <c r="K385" s="22" t="s"/>
      <c r="L385" s="22" t="s"/>
      <c r="M385" s="22" t="s"/>
      <c r="N385" s="22" t="s"/>
      <c r="O385" s="22" t="s"/>
      <c r="P385" s="22" t="s"/>
      <c r="Q385" s="22" t="s"/>
      <c r="R385" s="22" t="s"/>
      <c r="S385" s="22" t="s"/>
      <c r="T385" s="22" t="s"/>
      <c r="U385" s="22" t="s"/>
      <c r="V385" s="22" t="s"/>
      <c r="W385" s="22" t="s"/>
      <c r="X385" s="22" t="s"/>
      <c r="Y385" s="22" t="s"/>
      <c r="Z385" s="22" t="s"/>
    </row>
    <row r="386" spans="1:26" ht="16.8" customHeight="true">
      <c r="A386" s="47" t="s">
        <v>1254</v>
      </c>
      <c r="B386" s="30" t="s">
        <v>1255</v>
      </c>
      <c r="C386" s="30" t="s">
        <v>165</v>
      </c>
      <c r="D386" s="30" t="s">
        <v>1256</v>
      </c>
      <c r="E386" s="31" t="s">
        <v>288</v>
      </c>
      <c r="F386" s="22" t="s"/>
      <c r="G386" s="22" t="s"/>
      <c r="H386" s="22" t="s"/>
      <c r="I386" s="22" t="s"/>
      <c r="J386" s="22" t="s"/>
      <c r="K386" s="22" t="s"/>
      <c r="L386" s="22" t="s"/>
      <c r="M386" s="22" t="s"/>
      <c r="N386" s="22" t="s"/>
      <c r="O386" s="22" t="s"/>
      <c r="P386" s="22" t="s"/>
      <c r="Q386" s="22" t="s"/>
      <c r="R386" s="22" t="s"/>
      <c r="S386" s="22" t="s"/>
      <c r="T386" s="22" t="s"/>
      <c r="U386" s="22" t="s"/>
      <c r="V386" s="22" t="s"/>
      <c r="W386" s="22" t="s"/>
      <c r="X386" s="22" t="s"/>
      <c r="Y386" s="22" t="s"/>
      <c r="Z386" s="22" t="s"/>
    </row>
    <row r="387" spans="1:26" ht="16.8" customHeight="true">
      <c r="A387" s="47" t="s">
        <v>1257</v>
      </c>
      <c r="B387" s="30" t="s">
        <v>1258</v>
      </c>
      <c r="C387" s="30" t="s">
        <v>165</v>
      </c>
      <c r="D387" s="30" t="s"/>
      <c r="E387" s="31" t="s">
        <v>1259</v>
      </c>
      <c r="F387" s="22" t="s"/>
      <c r="G387" s="22" t="s"/>
      <c r="H387" s="22" t="s"/>
      <c r="I387" s="22" t="s"/>
      <c r="J387" s="22" t="s"/>
      <c r="K387" s="22" t="s"/>
      <c r="L387" s="22" t="s"/>
      <c r="M387" s="22" t="s"/>
      <c r="N387" s="22" t="s"/>
      <c r="O387" s="22" t="s"/>
      <c r="P387" s="22" t="s"/>
      <c r="Q387" s="22" t="s"/>
      <c r="R387" s="22" t="s"/>
      <c r="S387" s="22" t="s"/>
      <c r="T387" s="22" t="s"/>
      <c r="U387" s="22" t="s"/>
      <c r="V387" s="22" t="s"/>
      <c r="W387" s="22" t="s"/>
      <c r="X387" s="22" t="s"/>
      <c r="Y387" s="22" t="s"/>
      <c r="Z387" s="22" t="s"/>
    </row>
    <row r="388" spans="1:26" ht="16.8" customHeight="true">
      <c r="A388" s="47" t="s">
        <v>1260</v>
      </c>
      <c r="B388" s="30" t="s">
        <v>1261</v>
      </c>
      <c r="C388" s="30" t="s">
        <v>165</v>
      </c>
      <c r="D388" s="30" t="s"/>
      <c r="E388" s="31" t="s">
        <v>1262</v>
      </c>
      <c r="F388" s="22" t="s"/>
      <c r="G388" s="22" t="s"/>
      <c r="H388" s="22" t="s"/>
      <c r="I388" s="22" t="s"/>
      <c r="J388" s="22" t="s"/>
      <c r="K388" s="22" t="s"/>
      <c r="L388" s="22" t="s"/>
      <c r="M388" s="22" t="s"/>
      <c r="N388" s="22" t="s"/>
      <c r="O388" s="22" t="s"/>
      <c r="P388" s="22" t="s"/>
      <c r="Q388" s="22" t="s"/>
      <c r="R388" s="22" t="s"/>
      <c r="S388" s="22" t="s"/>
      <c r="T388" s="22" t="s"/>
      <c r="U388" s="22" t="s"/>
      <c r="V388" s="22" t="s"/>
      <c r="W388" s="22" t="s"/>
      <c r="X388" s="22" t="s"/>
      <c r="Y388" s="22" t="s"/>
      <c r="Z388" s="22" t="s"/>
    </row>
    <row r="389" spans="1:26" ht="16.8" customHeight="true">
      <c r="A389" s="47" t="s">
        <v>1263</v>
      </c>
      <c r="B389" s="30" t="s">
        <v>1264</v>
      </c>
      <c r="C389" s="30" t="s">
        <v>165</v>
      </c>
      <c r="D389" s="30" t="s"/>
      <c r="E389" s="31" t="s">
        <v>1265</v>
      </c>
      <c r="F389" s="22" t="s"/>
      <c r="G389" s="22" t="s"/>
      <c r="H389" s="22" t="s"/>
      <c r="I389" s="22" t="s"/>
      <c r="J389" s="22" t="s"/>
      <c r="K389" s="22" t="s"/>
      <c r="L389" s="22" t="s"/>
      <c r="M389" s="22" t="s"/>
      <c r="N389" s="22" t="s"/>
      <c r="O389" s="22" t="s"/>
      <c r="P389" s="22" t="s"/>
      <c r="Q389" s="22" t="s"/>
      <c r="R389" s="22" t="s"/>
      <c r="S389" s="22" t="s"/>
      <c r="T389" s="22" t="s"/>
      <c r="U389" s="22" t="s"/>
      <c r="V389" s="22" t="s"/>
      <c r="W389" s="22" t="s"/>
      <c r="X389" s="22" t="s"/>
      <c r="Y389" s="22" t="s"/>
      <c r="Z389" s="22" t="s"/>
    </row>
    <row r="390" spans="1:26" ht="16.8" customHeight="true">
      <c r="A390" s="41" t="s">
        <v>1266</v>
      </c>
      <c r="B390" s="30" t="s">
        <v>1267</v>
      </c>
      <c r="C390" s="30" t="s">
        <v>165</v>
      </c>
      <c r="D390" s="30" t="s"/>
      <c r="E390" s="31" t="s">
        <v>1268</v>
      </c>
      <c r="F390" s="22" t="s"/>
      <c r="G390" s="22" t="s"/>
      <c r="H390" s="22" t="s"/>
      <c r="I390" s="22" t="s"/>
      <c r="J390" s="22" t="s"/>
      <c r="K390" s="22" t="s"/>
      <c r="L390" s="22" t="s"/>
      <c r="M390" s="22" t="s"/>
      <c r="N390" s="22" t="s"/>
      <c r="O390" s="22" t="s"/>
      <c r="P390" s="22" t="s"/>
      <c r="Q390" s="22" t="s"/>
      <c r="R390" s="22" t="s"/>
      <c r="S390" s="22" t="s"/>
      <c r="T390" s="22" t="s"/>
      <c r="U390" s="22" t="s"/>
      <c r="V390" s="22" t="s"/>
      <c r="W390" s="22" t="s"/>
      <c r="X390" s="22" t="s"/>
      <c r="Y390" s="22" t="s"/>
      <c r="Z390" s="22" t="s"/>
    </row>
    <row r="391" spans="1:26" ht="16.8" customHeight="true">
      <c r="A391" s="47" t="s">
        <v>181</v>
      </c>
      <c r="B391" s="30" t="s">
        <v>182</v>
      </c>
      <c r="C391" s="30" t="s">
        <v>165</v>
      </c>
      <c r="D391" s="30" t="s"/>
      <c r="E391" s="31" t="s">
        <v>1269</v>
      </c>
      <c r="F391" s="22" t="s"/>
      <c r="G391" s="22" t="s"/>
      <c r="H391" s="22" t="s"/>
      <c r="I391" s="22" t="s"/>
      <c r="J391" s="22" t="s"/>
      <c r="K391" s="22" t="s"/>
      <c r="L391" s="22" t="s"/>
      <c r="M391" s="22" t="s"/>
      <c r="N391" s="22" t="s"/>
      <c r="O391" s="22" t="s"/>
      <c r="P391" s="22" t="s"/>
      <c r="Q391" s="22" t="s"/>
      <c r="R391" s="22" t="s"/>
      <c r="S391" s="22" t="s"/>
      <c r="T391" s="22" t="s"/>
      <c r="U391" s="22" t="s"/>
      <c r="V391" s="22" t="s"/>
      <c r="W391" s="22" t="s"/>
      <c r="X391" s="22" t="s"/>
      <c r="Y391" s="22" t="s"/>
      <c r="Z391" s="22" t="s"/>
    </row>
    <row r="392" spans="1:26" ht="16.8" customHeight="true">
      <c r="A392" s="47" t="s">
        <v>1270</v>
      </c>
      <c r="B392" s="30" t="s">
        <v>1271</v>
      </c>
      <c r="C392" s="30" t="s">
        <v>165</v>
      </c>
      <c r="D392" s="30" t="s"/>
      <c r="E392" s="31" t="s">
        <v>1272</v>
      </c>
      <c r="F392" s="22" t="s"/>
      <c r="G392" s="22" t="s"/>
      <c r="H392" s="22" t="s"/>
      <c r="I392" s="22" t="s"/>
      <c r="J392" s="22" t="s"/>
      <c r="K392" s="22" t="s"/>
      <c r="L392" s="22" t="s"/>
      <c r="M392" s="22" t="s"/>
      <c r="N392" s="22" t="s"/>
      <c r="O392" s="22" t="s"/>
      <c r="P392" s="22" t="s"/>
      <c r="Q392" s="22" t="s"/>
      <c r="R392" s="22" t="s"/>
      <c r="S392" s="22" t="s"/>
      <c r="T392" s="22" t="s"/>
      <c r="U392" s="22" t="s"/>
      <c r="V392" s="22" t="s"/>
      <c r="W392" s="22" t="s"/>
      <c r="X392" s="22" t="s"/>
      <c r="Y392" s="22" t="s"/>
      <c r="Z392" s="22" t="s"/>
    </row>
    <row r="393" spans="1:26" ht="16.8" customHeight="true">
      <c r="A393" s="47" t="s">
        <v>1273</v>
      </c>
      <c r="B393" s="30" t="s">
        <v>1274</v>
      </c>
      <c r="C393" s="30" t="s">
        <v>165</v>
      </c>
      <c r="D393" s="30" t="s"/>
      <c r="E393" s="31" t="s">
        <v>1275</v>
      </c>
      <c r="F393" s="22" t="s"/>
      <c r="G393" s="22" t="s"/>
      <c r="H393" s="22" t="s"/>
      <c r="I393" s="22" t="s"/>
      <c r="J393" s="22" t="s"/>
      <c r="K393" s="22" t="s"/>
      <c r="L393" s="22" t="s"/>
      <c r="M393" s="22" t="s"/>
      <c r="N393" s="22" t="s"/>
      <c r="O393" s="22" t="s"/>
      <c r="P393" s="22" t="s"/>
      <c r="Q393" s="22" t="s"/>
      <c r="R393" s="22" t="s"/>
      <c r="S393" s="22" t="s"/>
      <c r="T393" s="22" t="s"/>
      <c r="U393" s="22" t="s"/>
      <c r="V393" s="22" t="s"/>
      <c r="W393" s="22" t="s"/>
      <c r="X393" s="22" t="s"/>
      <c r="Y393" s="22" t="s"/>
      <c r="Z393" s="22" t="s"/>
    </row>
    <row r="394" spans="1:26" ht="16.8" customHeight="true">
      <c r="A394" s="47" t="s">
        <v>1276</v>
      </c>
      <c r="B394" s="30" t="s">
        <v>1277</v>
      </c>
      <c r="C394" s="30" t="s">
        <v>165</v>
      </c>
      <c r="D394" s="30" t="s"/>
      <c r="E394" s="31" t="s">
        <v>1278</v>
      </c>
      <c r="F394" s="22" t="s"/>
      <c r="G394" s="22" t="s"/>
      <c r="H394" s="22" t="s"/>
      <c r="I394" s="22" t="s"/>
      <c r="J394" s="22" t="s"/>
      <c r="K394" s="22" t="s"/>
      <c r="L394" s="22" t="s"/>
      <c r="M394" s="22" t="s"/>
      <c r="N394" s="22" t="s"/>
      <c r="O394" s="22" t="s"/>
      <c r="P394" s="22" t="s"/>
      <c r="Q394" s="22" t="s"/>
      <c r="R394" s="22" t="s"/>
      <c r="S394" s="22" t="s"/>
      <c r="T394" s="22" t="s"/>
      <c r="U394" s="22" t="s"/>
      <c r="V394" s="22" t="s"/>
      <c r="W394" s="22" t="s"/>
      <c r="X394" s="22" t="s"/>
      <c r="Y394" s="22" t="s"/>
      <c r="Z394" s="22" t="s"/>
    </row>
    <row r="395" spans="1:26" ht="16.8" customHeight="true">
      <c r="A395" s="47" t="s">
        <v>1279</v>
      </c>
      <c r="B395" s="30" t="s">
        <v>1280</v>
      </c>
      <c r="C395" s="30" t="s">
        <v>165</v>
      </c>
      <c r="D395" s="30" t="s"/>
      <c r="E395" s="31" t="s">
        <v>1281</v>
      </c>
      <c r="F395" s="22" t="s"/>
      <c r="G395" s="22" t="s"/>
      <c r="H395" s="22" t="s"/>
      <c r="I395" s="22" t="s"/>
      <c r="J395" s="22" t="s"/>
      <c r="K395" s="22" t="s"/>
      <c r="L395" s="22" t="s"/>
      <c r="M395" s="22" t="s"/>
      <c r="N395" s="22" t="s"/>
      <c r="O395" s="22" t="s"/>
      <c r="P395" s="22" t="s"/>
      <c r="Q395" s="22" t="s"/>
      <c r="R395" s="22" t="s"/>
      <c r="S395" s="22" t="s"/>
      <c r="T395" s="22" t="s"/>
      <c r="U395" s="22" t="s"/>
      <c r="V395" s="22" t="s"/>
      <c r="W395" s="22" t="s"/>
      <c r="X395" s="22" t="s"/>
      <c r="Y395" s="22" t="s"/>
      <c r="Z395" s="22" t="s"/>
    </row>
    <row r="396" spans="1:26" ht="16.8" customHeight="true">
      <c r="A396" s="41" t="s">
        <v>181</v>
      </c>
      <c r="B396" s="30" t="s">
        <v>182</v>
      </c>
      <c r="C396" s="30" t="s">
        <v>165</v>
      </c>
      <c r="D396" s="30" t="s"/>
      <c r="E396" s="31" t="s">
        <v>1282</v>
      </c>
      <c r="F396" s="22" t="s"/>
      <c r="G396" s="22" t="s"/>
      <c r="H396" s="22" t="s"/>
      <c r="I396" s="22" t="s"/>
      <c r="J396" s="22" t="s"/>
      <c r="K396" s="22" t="s"/>
      <c r="L396" s="22" t="s"/>
      <c r="M396" s="22" t="s"/>
      <c r="N396" s="22" t="s"/>
      <c r="O396" s="22" t="s"/>
      <c r="P396" s="22" t="s"/>
      <c r="Q396" s="22" t="s"/>
      <c r="R396" s="22" t="s"/>
      <c r="S396" s="22" t="s"/>
      <c r="T396" s="22" t="s"/>
      <c r="U396" s="22" t="s"/>
      <c r="V396" s="22" t="s"/>
      <c r="W396" s="22" t="s"/>
      <c r="X396" s="22" t="s"/>
      <c r="Y396" s="22" t="s"/>
      <c r="Z396" s="22" t="s"/>
    </row>
    <row r="397" spans="1:26" ht="16.8" customHeight="true">
      <c r="A397" s="47" t="s">
        <v>1283</v>
      </c>
      <c r="B397" s="30" t="s">
        <v>182</v>
      </c>
      <c r="C397" s="30" t="s">
        <v>263</v>
      </c>
      <c r="D397" s="30" t="s">
        <v>153</v>
      </c>
      <c r="E397" s="31" t="s">
        <v>1284</v>
      </c>
      <c r="F397" s="22" t="s"/>
      <c r="G397" s="22" t="s"/>
      <c r="H397" s="22" t="s"/>
      <c r="I397" s="22" t="s"/>
      <c r="J397" s="22" t="s"/>
      <c r="K397" s="22" t="s"/>
      <c r="L397" s="22" t="s"/>
      <c r="M397" s="22" t="s"/>
      <c r="N397" s="22" t="s"/>
      <c r="O397" s="22" t="s"/>
      <c r="P397" s="22" t="s"/>
      <c r="Q397" s="22" t="s"/>
      <c r="R397" s="22" t="s"/>
      <c r="S397" s="22" t="s"/>
      <c r="T397" s="22" t="s"/>
      <c r="U397" s="22" t="s"/>
      <c r="V397" s="22" t="s"/>
      <c r="W397" s="22" t="s"/>
      <c r="X397" s="22" t="s"/>
      <c r="Y397" s="22" t="s"/>
      <c r="Z397" s="22" t="s"/>
    </row>
    <row r="398" spans="1:26" ht="16.8" customHeight="true">
      <c r="A398" s="47" t="s">
        <v>1285</v>
      </c>
      <c r="B398" s="30" t="s">
        <v>1286</v>
      </c>
      <c r="C398" s="30" t="s">
        <v>484</v>
      </c>
      <c r="D398" s="30" t="s">
        <v>232</v>
      </c>
      <c r="E398" s="31" t="s">
        <v>1287</v>
      </c>
      <c r="F398" s="22" t="s"/>
      <c r="G398" s="22" t="s"/>
      <c r="H398" s="22" t="s"/>
      <c r="I398" s="22" t="s"/>
      <c r="J398" s="22" t="s"/>
      <c r="K398" s="22" t="s"/>
      <c r="L398" s="22" t="s"/>
      <c r="M398" s="22" t="s"/>
      <c r="N398" s="22" t="s"/>
      <c r="O398" s="22" t="s"/>
      <c r="P398" s="22" t="s"/>
      <c r="Q398" s="22" t="s"/>
      <c r="R398" s="22" t="s"/>
      <c r="S398" s="22" t="s"/>
      <c r="T398" s="22" t="s"/>
      <c r="U398" s="22" t="s"/>
      <c r="V398" s="22" t="s"/>
      <c r="W398" s="22" t="s"/>
      <c r="X398" s="22" t="s"/>
      <c r="Y398" s="22" t="s"/>
      <c r="Z398" s="22" t="s"/>
    </row>
    <row r="399" spans="1:26" ht="16.8" customHeight="true">
      <c r="A399" s="47" t="s">
        <v>1288</v>
      </c>
      <c r="B399" s="30" t="s">
        <v>1289</v>
      </c>
      <c r="C399" s="30" t="s">
        <v>165</v>
      </c>
      <c r="D399" s="30" t="s"/>
      <c r="E399" s="31" t="s">
        <v>1290</v>
      </c>
      <c r="F399" s="22" t="s"/>
      <c r="G399" s="22" t="s"/>
      <c r="H399" s="22" t="s"/>
      <c r="I399" s="22" t="s"/>
      <c r="J399" s="22" t="s"/>
      <c r="K399" s="22" t="s"/>
      <c r="L399" s="22" t="s"/>
      <c r="M399" s="22" t="s"/>
      <c r="N399" s="22" t="s"/>
      <c r="O399" s="22" t="s"/>
      <c r="P399" s="22" t="s"/>
      <c r="Q399" s="22" t="s"/>
      <c r="R399" s="22" t="s"/>
      <c r="S399" s="22" t="s"/>
      <c r="T399" s="22" t="s"/>
      <c r="U399" s="22" t="s"/>
      <c r="V399" s="22" t="s"/>
      <c r="W399" s="22" t="s"/>
      <c r="X399" s="22" t="s"/>
      <c r="Y399" s="22" t="s"/>
      <c r="Z399" s="22" t="s"/>
    </row>
    <row r="400" spans="1:26" ht="16.8" customHeight="true">
      <c r="A400" s="47" t="s">
        <v>896</v>
      </c>
      <c r="B400" s="30" t="s">
        <v>897</v>
      </c>
      <c r="C400" s="30" t="s">
        <v>165</v>
      </c>
      <c r="D400" s="30" t="s"/>
      <c r="E400" s="31" t="s">
        <v>1291</v>
      </c>
      <c r="F400" s="22" t="s"/>
      <c r="G400" s="22" t="s"/>
      <c r="H400" s="22" t="s"/>
      <c r="I400" s="22" t="s"/>
      <c r="J400" s="22" t="s"/>
      <c r="K400" s="22" t="s"/>
      <c r="L400" s="22" t="s"/>
      <c r="M400" s="22" t="s"/>
      <c r="N400" s="22" t="s"/>
      <c r="O400" s="22" t="s"/>
      <c r="P400" s="22" t="s"/>
      <c r="Q400" s="22" t="s"/>
      <c r="R400" s="22" t="s"/>
      <c r="S400" s="22" t="s"/>
      <c r="T400" s="22" t="s"/>
      <c r="U400" s="22" t="s"/>
      <c r="V400" s="22" t="s"/>
      <c r="W400" s="22" t="s"/>
      <c r="X400" s="22" t="s"/>
      <c r="Y400" s="22" t="s"/>
      <c r="Z400" s="22" t="s"/>
    </row>
    <row r="401" spans="1:26" ht="16.8" customHeight="true">
      <c r="A401" s="47" t="s">
        <v>1292</v>
      </c>
      <c r="B401" s="30" t="s">
        <v>1293</v>
      </c>
      <c r="C401" s="30" t="s">
        <v>165</v>
      </c>
      <c r="D401" s="30" t="s"/>
      <c r="E401" s="31" t="s">
        <v>722</v>
      </c>
      <c r="F401" s="22" t="s"/>
      <c r="G401" s="22" t="s"/>
      <c r="H401" s="22" t="s"/>
      <c r="I401" s="22" t="s"/>
      <c r="J401" s="22" t="s"/>
      <c r="K401" s="22" t="s"/>
      <c r="L401" s="22" t="s"/>
      <c r="M401" s="22" t="s"/>
      <c r="N401" s="22" t="s"/>
      <c r="O401" s="22" t="s"/>
      <c r="P401" s="22" t="s"/>
      <c r="Q401" s="22" t="s"/>
      <c r="R401" s="22" t="s"/>
      <c r="S401" s="22" t="s"/>
      <c r="T401" s="22" t="s"/>
      <c r="U401" s="22" t="s"/>
      <c r="V401" s="22" t="s"/>
      <c r="W401" s="22" t="s"/>
      <c r="X401" s="22" t="s"/>
      <c r="Y401" s="22" t="s"/>
      <c r="Z401" s="22" t="s"/>
    </row>
    <row r="402" spans="1:26" ht="16.8" customHeight="true">
      <c r="A402" s="41" t="s">
        <v>1294</v>
      </c>
      <c r="B402" s="30" t="s">
        <v>1295</v>
      </c>
      <c r="C402" s="30" t="s">
        <v>165</v>
      </c>
      <c r="D402" s="30" t="s"/>
      <c r="E402" s="31" t="s">
        <v>1296</v>
      </c>
      <c r="F402" s="22" t="s"/>
      <c r="G402" s="22" t="s"/>
      <c r="H402" s="22" t="s"/>
      <c r="I402" s="22" t="s"/>
      <c r="J402" s="22" t="s"/>
      <c r="K402" s="22" t="s"/>
      <c r="L402" s="22" t="s"/>
      <c r="M402" s="22" t="s"/>
      <c r="N402" s="22" t="s"/>
      <c r="O402" s="22" t="s"/>
      <c r="P402" s="22" t="s"/>
      <c r="Q402" s="22" t="s"/>
      <c r="R402" s="22" t="s"/>
      <c r="S402" s="22" t="s"/>
      <c r="T402" s="22" t="s"/>
      <c r="U402" s="22" t="s"/>
      <c r="V402" s="22" t="s"/>
      <c r="W402" s="22" t="s"/>
      <c r="X402" s="22" t="s"/>
      <c r="Y402" s="22" t="s"/>
      <c r="Z402" s="22" t="s"/>
    </row>
    <row r="403" spans="1:26" ht="16.8" customHeight="true">
      <c r="A403" s="47" t="s">
        <v>1297</v>
      </c>
      <c r="B403" s="30" t="s">
        <v>1298</v>
      </c>
      <c r="C403" s="30" t="s">
        <v>165</v>
      </c>
      <c r="D403" s="30" t="s"/>
      <c r="E403" s="31" t="s">
        <v>1299</v>
      </c>
      <c r="F403" s="22" t="s"/>
      <c r="G403" s="22" t="s"/>
      <c r="H403" s="22" t="s"/>
      <c r="I403" s="22" t="s"/>
      <c r="J403" s="22" t="s"/>
      <c r="K403" s="22" t="s"/>
      <c r="L403" s="22" t="s"/>
      <c r="M403" s="22" t="s"/>
      <c r="N403" s="22" t="s"/>
      <c r="O403" s="22" t="s"/>
      <c r="P403" s="22" t="s"/>
      <c r="Q403" s="22" t="s"/>
      <c r="R403" s="22" t="s"/>
      <c r="S403" s="22" t="s"/>
      <c r="T403" s="22" t="s"/>
      <c r="U403" s="22" t="s"/>
      <c r="V403" s="22" t="s"/>
      <c r="W403" s="22" t="s"/>
      <c r="X403" s="22" t="s"/>
      <c r="Y403" s="22" t="s"/>
      <c r="Z403" s="22" t="s"/>
    </row>
    <row r="404" spans="1:26" ht="16.8" customHeight="true">
      <c r="A404" s="47" t="s">
        <v>1300</v>
      </c>
      <c r="B404" s="30" t="s">
        <v>1301</v>
      </c>
      <c r="C404" s="30" t="s">
        <v>161</v>
      </c>
      <c r="D404" s="30" t="s"/>
      <c r="E404" s="31" t="s">
        <v>1302</v>
      </c>
      <c r="F404" s="22" t="s"/>
      <c r="G404" s="22" t="s"/>
      <c r="H404" s="22" t="s"/>
      <c r="I404" s="22" t="s"/>
      <c r="J404" s="22" t="s"/>
      <c r="K404" s="22" t="s"/>
      <c r="L404" s="22" t="s"/>
      <c r="M404" s="22" t="s"/>
      <c r="N404" s="22" t="s"/>
      <c r="O404" s="22" t="s"/>
      <c r="P404" s="22" t="s"/>
      <c r="Q404" s="22" t="s"/>
      <c r="R404" s="22" t="s"/>
      <c r="S404" s="22" t="s"/>
      <c r="T404" s="22" t="s"/>
      <c r="U404" s="22" t="s"/>
      <c r="V404" s="22" t="s"/>
      <c r="W404" s="22" t="s"/>
      <c r="X404" s="22" t="s"/>
      <c r="Y404" s="22" t="s"/>
      <c r="Z404" s="22" t="s"/>
    </row>
    <row r="405" spans="1:26" ht="16.8" customHeight="true">
      <c r="A405" s="47" t="s">
        <v>1303</v>
      </c>
      <c r="B405" s="30" t="s">
        <v>1304</v>
      </c>
      <c r="C405" s="30" t="s">
        <v>165</v>
      </c>
      <c r="D405" s="30" t="s"/>
      <c r="E405" s="31" t="s">
        <v>1305</v>
      </c>
      <c r="F405" s="22" t="s"/>
      <c r="G405" s="22" t="s"/>
      <c r="H405" s="22" t="s"/>
      <c r="I405" s="22" t="s"/>
      <c r="J405" s="22" t="s"/>
      <c r="K405" s="22" t="s"/>
      <c r="L405" s="22" t="s"/>
      <c r="M405" s="22" t="s"/>
      <c r="N405" s="22" t="s"/>
      <c r="O405" s="22" t="s"/>
      <c r="P405" s="22" t="s"/>
      <c r="Q405" s="22" t="s"/>
      <c r="R405" s="22" t="s"/>
      <c r="S405" s="22" t="s"/>
      <c r="T405" s="22" t="s"/>
      <c r="U405" s="22" t="s"/>
      <c r="V405" s="22" t="s"/>
      <c r="W405" s="22" t="s"/>
      <c r="X405" s="22" t="s"/>
      <c r="Y405" s="22" t="s"/>
      <c r="Z405" s="22" t="s"/>
    </row>
    <row r="406" spans="1:26" ht="16.8" customHeight="true">
      <c r="A406" s="47" t="s">
        <v>1306</v>
      </c>
      <c r="B406" s="30" t="s">
        <v>1307</v>
      </c>
      <c r="C406" s="30" t="s">
        <v>236</v>
      </c>
      <c r="D406" s="30" t="s">
        <v>232</v>
      </c>
      <c r="E406" s="31" t="s">
        <v>1308</v>
      </c>
      <c r="F406" s="22" t="s"/>
      <c r="G406" s="22" t="s"/>
      <c r="H406" s="22" t="s"/>
      <c r="I406" s="22" t="s"/>
      <c r="J406" s="22" t="s"/>
      <c r="K406" s="22" t="s"/>
      <c r="L406" s="22" t="s"/>
      <c r="M406" s="22" t="s"/>
      <c r="N406" s="22" t="s"/>
      <c r="O406" s="22" t="s"/>
      <c r="P406" s="22" t="s"/>
      <c r="Q406" s="22" t="s"/>
      <c r="R406" s="22" t="s"/>
      <c r="S406" s="22" t="s"/>
      <c r="T406" s="22" t="s"/>
      <c r="U406" s="22" t="s"/>
      <c r="V406" s="22" t="s"/>
      <c r="W406" s="22" t="s"/>
      <c r="X406" s="22" t="s"/>
      <c r="Y406" s="22" t="s"/>
      <c r="Z406" s="22" t="s"/>
    </row>
    <row r="407" spans="1:26" ht="16.8" customHeight="true">
      <c r="A407" s="47" t="s">
        <v>188</v>
      </c>
      <c r="B407" s="30" t="s">
        <v>189</v>
      </c>
      <c r="C407" s="30" t="s">
        <v>443</v>
      </c>
      <c r="D407" s="30" t="s">
        <v>1309</v>
      </c>
      <c r="E407" s="31" t="s">
        <v>1310</v>
      </c>
      <c r="F407" s="22" t="s"/>
      <c r="G407" s="22" t="s"/>
      <c r="H407" s="22" t="s"/>
      <c r="I407" s="22" t="s"/>
      <c r="J407" s="22" t="s"/>
      <c r="K407" s="22" t="s"/>
      <c r="L407" s="22" t="s"/>
      <c r="M407" s="22" t="s"/>
      <c r="N407" s="22" t="s"/>
      <c r="O407" s="22" t="s"/>
      <c r="P407" s="22" t="s"/>
      <c r="Q407" s="22" t="s"/>
      <c r="R407" s="22" t="s"/>
      <c r="S407" s="22" t="s"/>
      <c r="T407" s="22" t="s"/>
      <c r="U407" s="22" t="s"/>
      <c r="V407" s="22" t="s"/>
      <c r="W407" s="22" t="s"/>
      <c r="X407" s="22" t="s"/>
      <c r="Y407" s="22" t="s"/>
      <c r="Z407" s="22" t="s"/>
    </row>
    <row r="408" spans="1:26" ht="16.8" customHeight="true">
      <c r="A408" s="41" t="s">
        <v>1311</v>
      </c>
      <c r="B408" s="30" t="s">
        <v>1312</v>
      </c>
      <c r="C408" s="30" t="s">
        <v>142</v>
      </c>
      <c r="D408" s="30" t="s">
        <v>153</v>
      </c>
      <c r="E408" s="31" t="s">
        <v>1313</v>
      </c>
      <c r="F408" s="22" t="s"/>
      <c r="G408" s="22" t="s"/>
      <c r="H408" s="22" t="s"/>
      <c r="I408" s="22" t="s"/>
      <c r="J408" s="22" t="s"/>
      <c r="K408" s="22" t="s"/>
      <c r="L408" s="22" t="s"/>
      <c r="M408" s="22" t="s"/>
      <c r="N408" s="22" t="s"/>
      <c r="O408" s="22" t="s"/>
      <c r="P408" s="22" t="s"/>
      <c r="Q408" s="22" t="s"/>
      <c r="R408" s="22" t="s"/>
      <c r="S408" s="22" t="s"/>
      <c r="T408" s="22" t="s"/>
      <c r="U408" s="22" t="s"/>
      <c r="V408" s="22" t="s"/>
      <c r="W408" s="22" t="s"/>
      <c r="X408" s="22" t="s"/>
      <c r="Y408" s="22" t="s"/>
      <c r="Z408" s="22" t="s"/>
    </row>
    <row r="409" spans="1:26" ht="16.8" customHeight="true">
      <c r="A409" s="47" t="s">
        <v>1314</v>
      </c>
      <c r="B409" s="30" t="s">
        <v>1315</v>
      </c>
      <c r="C409" s="30" t="s">
        <v>152</v>
      </c>
      <c r="D409" s="30" t="s">
        <v>170</v>
      </c>
      <c r="E409" s="31" t="s">
        <v>1316</v>
      </c>
      <c r="F409" s="22" t="s"/>
      <c r="G409" s="22" t="s"/>
      <c r="H409" s="22" t="s"/>
      <c r="I409" s="22" t="s"/>
      <c r="J409" s="22" t="s"/>
      <c r="K409" s="22" t="s"/>
      <c r="L409" s="22" t="s"/>
      <c r="M409" s="22" t="s"/>
      <c r="N409" s="22" t="s"/>
      <c r="O409" s="22" t="s"/>
      <c r="P409" s="22" t="s"/>
      <c r="Q409" s="22" t="s"/>
      <c r="R409" s="22" t="s"/>
      <c r="S409" s="22" t="s"/>
      <c r="T409" s="22" t="s"/>
      <c r="U409" s="22" t="s"/>
      <c r="V409" s="22" t="s"/>
      <c r="W409" s="22" t="s"/>
      <c r="X409" s="22" t="s"/>
      <c r="Y409" s="22" t="s"/>
      <c r="Z409" s="22" t="s"/>
    </row>
    <row r="410" spans="1:26" ht="16.8" customHeight="true">
      <c r="A410" s="47" t="s">
        <v>1317</v>
      </c>
      <c r="B410" s="30" t="s">
        <v>168</v>
      </c>
      <c r="C410" s="30" t="s">
        <v>263</v>
      </c>
      <c r="D410" s="30" t="s">
        <v>232</v>
      </c>
      <c r="E410" s="31" t="s">
        <v>1318</v>
      </c>
      <c r="F410" s="22" t="s"/>
      <c r="G410" s="22" t="s"/>
      <c r="H410" s="22" t="s"/>
      <c r="I410" s="22" t="s"/>
      <c r="J410" s="22" t="s"/>
      <c r="K410" s="22" t="s"/>
      <c r="L410" s="22" t="s"/>
      <c r="M410" s="22" t="s"/>
      <c r="N410" s="22" t="s"/>
      <c r="O410" s="22" t="s"/>
      <c r="P410" s="22" t="s"/>
      <c r="Q410" s="22" t="s"/>
      <c r="R410" s="22" t="s"/>
      <c r="S410" s="22" t="s"/>
      <c r="T410" s="22" t="s"/>
      <c r="U410" s="22" t="s"/>
      <c r="V410" s="22" t="s"/>
      <c r="W410" s="22" t="s"/>
      <c r="X410" s="22" t="s"/>
      <c r="Y410" s="22" t="s"/>
      <c r="Z410" s="22" t="s"/>
    </row>
    <row r="411" spans="1:26" ht="16.8" customHeight="true">
      <c r="A411" s="47" t="s">
        <v>707</v>
      </c>
      <c r="B411" s="30" t="s">
        <v>708</v>
      </c>
      <c r="C411" s="30" t="s">
        <v>382</v>
      </c>
      <c r="D411" s="30" t="s">
        <v>1211</v>
      </c>
      <c r="E411" s="31" t="s">
        <v>1319</v>
      </c>
      <c r="F411" s="22" t="s"/>
      <c r="G411" s="22" t="s"/>
      <c r="H411" s="22" t="s"/>
      <c r="I411" s="22" t="s"/>
      <c r="J411" s="22" t="s"/>
      <c r="K411" s="22" t="s"/>
      <c r="L411" s="22" t="s"/>
      <c r="M411" s="22" t="s"/>
      <c r="N411" s="22" t="s"/>
      <c r="O411" s="22" t="s"/>
      <c r="P411" s="22" t="s"/>
      <c r="Q411" s="22" t="s"/>
      <c r="R411" s="22" t="s"/>
      <c r="S411" s="22" t="s"/>
      <c r="T411" s="22" t="s"/>
      <c r="U411" s="22" t="s"/>
      <c r="V411" s="22" t="s"/>
      <c r="W411" s="22" t="s"/>
      <c r="X411" s="22" t="s"/>
      <c r="Y411" s="22" t="s"/>
      <c r="Z411" s="22" t="s"/>
    </row>
    <row r="412" spans="1:26" ht="16.8" customHeight="true">
      <c r="A412" s="47" t="s">
        <v>1320</v>
      </c>
      <c r="B412" s="30" t="s">
        <v>1321</v>
      </c>
      <c r="C412" s="30" t="s">
        <v>263</v>
      </c>
      <c r="D412" s="30" t="s">
        <v>170</v>
      </c>
      <c r="E412" s="31" t="s">
        <v>1322</v>
      </c>
      <c r="F412" s="22" t="s"/>
      <c r="G412" s="22" t="s"/>
      <c r="H412" s="22" t="s"/>
      <c r="I412" s="22" t="s"/>
      <c r="J412" s="22" t="s"/>
      <c r="K412" s="22" t="s"/>
      <c r="L412" s="22" t="s"/>
      <c r="M412" s="22" t="s"/>
      <c r="N412" s="22" t="s"/>
      <c r="O412" s="22" t="s"/>
      <c r="P412" s="22" t="s"/>
      <c r="Q412" s="22" t="s"/>
      <c r="R412" s="22" t="s"/>
      <c r="S412" s="22" t="s"/>
      <c r="T412" s="22" t="s"/>
      <c r="U412" s="22" t="s"/>
      <c r="V412" s="22" t="s"/>
      <c r="W412" s="22" t="s"/>
      <c r="X412" s="22" t="s"/>
      <c r="Y412" s="22" t="s"/>
      <c r="Z412" s="22" t="s"/>
    </row>
    <row r="413" spans="1:26" ht="16.8" customHeight="true">
      <c r="A413" s="47" t="s">
        <v>1323</v>
      </c>
      <c r="B413" s="30" t="s">
        <v>1324</v>
      </c>
      <c r="C413" s="30" t="s">
        <v>169</v>
      </c>
      <c r="D413" s="30" t="s"/>
      <c r="E413" s="31" t="s">
        <v>1325</v>
      </c>
      <c r="F413" s="22" t="s"/>
      <c r="G413" s="22" t="s"/>
      <c r="H413" s="22" t="s"/>
      <c r="I413" s="22" t="s"/>
      <c r="J413" s="22" t="s"/>
      <c r="K413" s="22" t="s"/>
      <c r="L413" s="22" t="s"/>
      <c r="M413" s="22" t="s"/>
      <c r="N413" s="22" t="s"/>
      <c r="O413" s="22" t="s"/>
      <c r="P413" s="22" t="s"/>
      <c r="Q413" s="22" t="s"/>
      <c r="R413" s="22" t="s"/>
      <c r="S413" s="22" t="s"/>
      <c r="T413" s="22" t="s"/>
      <c r="U413" s="22" t="s"/>
      <c r="V413" s="22" t="s"/>
      <c r="W413" s="22" t="s"/>
      <c r="X413" s="22" t="s"/>
      <c r="Y413" s="22" t="s"/>
      <c r="Z413" s="22" t="s"/>
    </row>
    <row r="414" spans="1:26" ht="16.8" customHeight="true">
      <c r="A414" s="41" t="s">
        <v>1326</v>
      </c>
      <c r="B414" s="30" t="s">
        <v>1327</v>
      </c>
      <c r="C414" s="30" t="s">
        <v>165</v>
      </c>
      <c r="D414" s="30" t="s">
        <v>170</v>
      </c>
      <c r="E414" s="31" t="s">
        <v>1328</v>
      </c>
      <c r="F414" s="22" t="s"/>
      <c r="G414" s="22" t="s"/>
      <c r="H414" s="22" t="s"/>
      <c r="I414" s="22" t="s"/>
      <c r="J414" s="22" t="s"/>
      <c r="K414" s="22" t="s"/>
      <c r="L414" s="22" t="s"/>
      <c r="M414" s="22" t="s"/>
      <c r="N414" s="22" t="s"/>
      <c r="O414" s="22" t="s"/>
      <c r="P414" s="22" t="s"/>
      <c r="Q414" s="22" t="s"/>
      <c r="R414" s="22" t="s"/>
      <c r="S414" s="22" t="s"/>
      <c r="T414" s="22" t="s"/>
      <c r="U414" s="22" t="s"/>
      <c r="V414" s="22" t="s"/>
      <c r="W414" s="22" t="s"/>
      <c r="X414" s="22" t="s"/>
      <c r="Y414" s="22" t="s"/>
      <c r="Z414" s="22" t="s"/>
    </row>
    <row r="415" spans="1:26" ht="16.8" customHeight="true">
      <c r="A415" s="47" t="s">
        <v>1329</v>
      </c>
      <c r="B415" s="30" t="s">
        <v>1330</v>
      </c>
      <c r="C415" s="30" t="s">
        <v>165</v>
      </c>
      <c r="D415" s="30" t="s"/>
      <c r="E415" s="31" t="s">
        <v>1331</v>
      </c>
      <c r="F415" s="22" t="s"/>
      <c r="G415" s="22" t="s"/>
      <c r="H415" s="22" t="s"/>
      <c r="I415" s="22" t="s"/>
      <c r="J415" s="22" t="s"/>
      <c r="K415" s="22" t="s"/>
      <c r="L415" s="22" t="s"/>
      <c r="M415" s="22" t="s"/>
      <c r="N415" s="22" t="s"/>
      <c r="O415" s="22" t="s"/>
      <c r="P415" s="22" t="s"/>
      <c r="Q415" s="22" t="s"/>
      <c r="R415" s="22" t="s"/>
      <c r="S415" s="22" t="s"/>
      <c r="T415" s="22" t="s"/>
      <c r="U415" s="22" t="s"/>
      <c r="V415" s="22" t="s"/>
      <c r="W415" s="22" t="s"/>
      <c r="X415" s="22" t="s"/>
      <c r="Y415" s="22" t="s"/>
      <c r="Z415" s="22" t="s"/>
    </row>
    <row r="416" spans="1:26" ht="16.8" customHeight="true">
      <c r="A416" s="47" t="s">
        <v>1332</v>
      </c>
      <c r="B416" s="30" t="s">
        <v>1333</v>
      </c>
      <c r="C416" s="30" t="s">
        <v>165</v>
      </c>
      <c r="D416" s="30" t="s"/>
      <c r="E416" s="31" t="s">
        <v>1334</v>
      </c>
      <c r="F416" s="22" t="s"/>
      <c r="G416" s="22" t="s"/>
      <c r="H416" s="22" t="s"/>
      <c r="I416" s="22" t="s"/>
      <c r="J416" s="22" t="s"/>
      <c r="K416" s="22" t="s"/>
      <c r="L416" s="22" t="s"/>
      <c r="M416" s="22" t="s"/>
      <c r="N416" s="22" t="s"/>
      <c r="O416" s="22" t="s"/>
      <c r="P416" s="22" t="s"/>
      <c r="Q416" s="22" t="s"/>
      <c r="R416" s="22" t="s"/>
      <c r="S416" s="22" t="s"/>
      <c r="T416" s="22" t="s"/>
      <c r="U416" s="22" t="s"/>
      <c r="V416" s="22" t="s"/>
      <c r="W416" s="22" t="s"/>
      <c r="X416" s="22" t="s"/>
      <c r="Y416" s="22" t="s"/>
      <c r="Z416" s="22" t="s"/>
    </row>
    <row r="417" spans="1:26" ht="16.8" customHeight="true">
      <c r="A417" s="47" t="s">
        <v>1335</v>
      </c>
      <c r="B417" s="30" t="s">
        <v>1336</v>
      </c>
      <c r="C417" s="30" t="s">
        <v>165</v>
      </c>
      <c r="D417" s="30" t="s"/>
      <c r="E417" s="31" t="s">
        <v>1337</v>
      </c>
      <c r="F417" s="22" t="s"/>
      <c r="G417" s="22" t="s"/>
      <c r="H417" s="22" t="s"/>
      <c r="I417" s="22" t="s"/>
      <c r="J417" s="22" t="s"/>
      <c r="K417" s="22" t="s"/>
      <c r="L417" s="22" t="s"/>
      <c r="M417" s="22" t="s"/>
      <c r="N417" s="22" t="s"/>
      <c r="O417" s="22" t="s"/>
      <c r="P417" s="22" t="s"/>
      <c r="Q417" s="22" t="s"/>
      <c r="R417" s="22" t="s"/>
      <c r="S417" s="22" t="s"/>
      <c r="T417" s="22" t="s"/>
      <c r="U417" s="22" t="s"/>
      <c r="V417" s="22" t="s"/>
      <c r="W417" s="22" t="s"/>
      <c r="X417" s="22" t="s"/>
      <c r="Y417" s="22" t="s"/>
      <c r="Z417" s="22" t="s"/>
    </row>
    <row r="418" spans="1:26" ht="16.8" customHeight="true">
      <c r="A418" s="47" t="s">
        <v>1338</v>
      </c>
      <c r="B418" s="30" t="s">
        <v>1339</v>
      </c>
      <c r="C418" s="30" t="s">
        <v>165</v>
      </c>
      <c r="D418" s="30" t="s">
        <v>402</v>
      </c>
      <c r="E418" s="31" t="s">
        <v>1340</v>
      </c>
      <c r="F418" s="22" t="s"/>
      <c r="G418" s="22" t="s"/>
      <c r="H418" s="22" t="s"/>
      <c r="I418" s="22" t="s"/>
      <c r="J418" s="22" t="s"/>
      <c r="K418" s="22" t="s"/>
      <c r="L418" s="22" t="s"/>
      <c r="M418" s="22" t="s"/>
      <c r="N418" s="22" t="s"/>
      <c r="O418" s="22" t="s"/>
      <c r="P418" s="22" t="s"/>
      <c r="Q418" s="22" t="s"/>
      <c r="R418" s="22" t="s"/>
      <c r="S418" s="22" t="s"/>
      <c r="T418" s="22" t="s"/>
      <c r="U418" s="22" t="s"/>
      <c r="V418" s="22" t="s"/>
      <c r="W418" s="22" t="s"/>
      <c r="X418" s="22" t="s"/>
      <c r="Y418" s="22" t="s"/>
      <c r="Z418" s="22" t="s"/>
    </row>
    <row r="419" spans="1:26" ht="16.8" customHeight="true">
      <c r="A419" s="47" t="s">
        <v>1341</v>
      </c>
      <c r="B419" s="30" t="s">
        <v>1342</v>
      </c>
      <c r="C419" s="30" t="s">
        <v>165</v>
      </c>
      <c r="D419" s="30" t="s"/>
      <c r="E419" s="31" t="s">
        <v>1343</v>
      </c>
      <c r="F419" s="22" t="s"/>
      <c r="G419" s="22" t="s"/>
      <c r="H419" s="22" t="s"/>
      <c r="I419" s="22" t="s"/>
      <c r="J419" s="22" t="s"/>
      <c r="K419" s="22" t="s"/>
      <c r="L419" s="22" t="s"/>
      <c r="M419" s="22" t="s"/>
      <c r="N419" s="22" t="s"/>
      <c r="O419" s="22" t="s"/>
      <c r="P419" s="22" t="s"/>
      <c r="Q419" s="22" t="s"/>
      <c r="R419" s="22" t="s"/>
      <c r="S419" s="22" t="s"/>
      <c r="T419" s="22" t="s"/>
      <c r="U419" s="22" t="s"/>
      <c r="V419" s="22" t="s"/>
      <c r="W419" s="22" t="s"/>
      <c r="X419" s="22" t="s"/>
      <c r="Y419" s="22" t="s"/>
      <c r="Z419" s="22" t="s"/>
    </row>
    <row r="420" spans="1:26" ht="16.8" customHeight="true">
      <c r="A420" s="41" t="s">
        <v>1344</v>
      </c>
      <c r="B420" s="30" t="s">
        <v>1345</v>
      </c>
      <c r="C420" s="30" t="s">
        <v>152</v>
      </c>
      <c r="D420" s="30" t="s"/>
      <c r="E420" s="31" t="s">
        <v>1346</v>
      </c>
      <c r="F420" s="22" t="s"/>
      <c r="G420" s="22" t="s"/>
      <c r="H420" s="22" t="s"/>
      <c r="I420" s="22" t="s"/>
      <c r="J420" s="22" t="s"/>
      <c r="K420" s="22" t="s"/>
      <c r="L420" s="22" t="s"/>
      <c r="M420" s="22" t="s"/>
      <c r="N420" s="22" t="s"/>
      <c r="O420" s="22" t="s"/>
      <c r="P420" s="22" t="s"/>
      <c r="Q420" s="22" t="s"/>
      <c r="R420" s="22" t="s"/>
      <c r="S420" s="22" t="s"/>
      <c r="T420" s="22" t="s"/>
      <c r="U420" s="22" t="s"/>
      <c r="V420" s="22" t="s"/>
      <c r="W420" s="22" t="s"/>
      <c r="X420" s="22" t="s"/>
      <c r="Y420" s="22" t="s"/>
      <c r="Z420" s="22" t="s"/>
    </row>
    <row r="421" spans="1:26" ht="16.8" customHeight="true">
      <c r="A421" s="47" t="s">
        <v>659</v>
      </c>
      <c r="B421" s="30" t="s">
        <v>660</v>
      </c>
      <c r="C421" s="30" t="s">
        <v>165</v>
      </c>
      <c r="D421" s="30" t="s">
        <v>232</v>
      </c>
      <c r="E421" s="31" t="s">
        <v>1347</v>
      </c>
      <c r="F421" s="22" t="s"/>
      <c r="G421" s="22" t="s"/>
      <c r="H421" s="22" t="s"/>
      <c r="I421" s="22" t="s"/>
      <c r="J421" s="22" t="s"/>
      <c r="K421" s="22" t="s"/>
      <c r="L421" s="22" t="s"/>
      <c r="M421" s="22" t="s"/>
      <c r="N421" s="22" t="s"/>
      <c r="O421" s="22" t="s"/>
      <c r="P421" s="22" t="s"/>
      <c r="Q421" s="22" t="s"/>
      <c r="R421" s="22" t="s"/>
      <c r="S421" s="22" t="s"/>
      <c r="T421" s="22" t="s"/>
      <c r="U421" s="22" t="s"/>
      <c r="V421" s="22" t="s"/>
      <c r="W421" s="22" t="s"/>
      <c r="X421" s="22" t="s"/>
      <c r="Y421" s="22" t="s"/>
      <c r="Z421" s="22" t="s"/>
    </row>
    <row r="422" spans="1:26" ht="16.8" customHeight="true">
      <c r="A422" s="47" t="s">
        <v>1348</v>
      </c>
      <c r="B422" s="30" t="s">
        <v>1349</v>
      </c>
      <c r="C422" s="30" t="s">
        <v>165</v>
      </c>
      <c r="D422" s="30" t="s"/>
      <c r="E422" s="31" t="s">
        <v>1350</v>
      </c>
      <c r="F422" s="22" t="s"/>
      <c r="G422" s="22" t="s"/>
      <c r="H422" s="22" t="s"/>
      <c r="I422" s="22" t="s"/>
      <c r="J422" s="22" t="s"/>
      <c r="K422" s="22" t="s"/>
      <c r="L422" s="22" t="s"/>
      <c r="M422" s="22" t="s"/>
      <c r="N422" s="22" t="s"/>
      <c r="O422" s="22" t="s"/>
      <c r="P422" s="22" t="s"/>
      <c r="Q422" s="22" t="s"/>
      <c r="R422" s="22" t="s"/>
      <c r="S422" s="22" t="s"/>
      <c r="T422" s="22" t="s"/>
      <c r="U422" s="22" t="s"/>
      <c r="V422" s="22" t="s"/>
      <c r="W422" s="22" t="s"/>
      <c r="X422" s="22" t="s"/>
      <c r="Y422" s="22" t="s"/>
      <c r="Z422" s="22" t="s"/>
    </row>
    <row r="423" spans="1:26" ht="16.8" customHeight="true">
      <c r="A423" s="47" t="s">
        <v>1351</v>
      </c>
      <c r="B423" s="30" t="s">
        <v>1352</v>
      </c>
      <c r="C423" s="30" t="s">
        <v>165</v>
      </c>
      <c r="D423" s="30" t="s"/>
      <c r="E423" s="31" t="s">
        <v>1353</v>
      </c>
      <c r="F423" s="22" t="s"/>
      <c r="G423" s="22" t="s"/>
      <c r="H423" s="22" t="s"/>
      <c r="I423" s="22" t="s"/>
      <c r="J423" s="22" t="s"/>
      <c r="K423" s="22" t="s"/>
      <c r="L423" s="22" t="s"/>
      <c r="M423" s="22" t="s"/>
      <c r="N423" s="22" t="s"/>
      <c r="O423" s="22" t="s"/>
      <c r="P423" s="22" t="s"/>
      <c r="Q423" s="22" t="s"/>
      <c r="R423" s="22" t="s"/>
      <c r="S423" s="22" t="s"/>
      <c r="T423" s="22" t="s"/>
      <c r="U423" s="22" t="s"/>
      <c r="V423" s="22" t="s"/>
      <c r="W423" s="22" t="s"/>
      <c r="X423" s="22" t="s"/>
      <c r="Y423" s="22" t="s"/>
      <c r="Z423" s="22" t="s"/>
    </row>
    <row r="424" spans="1:26" ht="16.8" customHeight="true">
      <c r="A424" s="47" t="s">
        <v>1354</v>
      </c>
      <c r="B424" s="30" t="s">
        <v>1198</v>
      </c>
      <c r="C424" s="30" t="s">
        <v>165</v>
      </c>
      <c r="D424" s="30" t="s"/>
      <c r="E424" s="31" t="s">
        <v>1355</v>
      </c>
      <c r="F424" s="22" t="s"/>
      <c r="G424" s="22" t="s"/>
      <c r="H424" s="22" t="s"/>
      <c r="I424" s="22" t="s"/>
      <c r="J424" s="22" t="s"/>
      <c r="K424" s="22" t="s"/>
      <c r="L424" s="22" t="s"/>
      <c r="M424" s="22" t="s"/>
      <c r="N424" s="22" t="s"/>
      <c r="O424" s="22" t="s"/>
      <c r="P424" s="22" t="s"/>
      <c r="Q424" s="22" t="s"/>
      <c r="R424" s="22" t="s"/>
      <c r="S424" s="22" t="s"/>
      <c r="T424" s="22" t="s"/>
      <c r="U424" s="22" t="s"/>
      <c r="V424" s="22" t="s"/>
      <c r="W424" s="22" t="s"/>
      <c r="X424" s="22" t="s"/>
      <c r="Y424" s="22" t="s"/>
      <c r="Z424" s="22" t="s"/>
    </row>
    <row r="425" spans="1:26" ht="16.8" customHeight="true">
      <c r="A425" s="47" t="s">
        <v>1356</v>
      </c>
      <c r="B425" s="30" t="s">
        <v>1357</v>
      </c>
      <c r="C425" s="30" t="s">
        <v>165</v>
      </c>
      <c r="D425" s="30" t="s"/>
      <c r="E425" s="31" t="s">
        <v>1358</v>
      </c>
      <c r="F425" s="22" t="s"/>
      <c r="G425" s="22" t="s"/>
      <c r="H425" s="22" t="s"/>
      <c r="I425" s="22" t="s"/>
      <c r="J425" s="22" t="s"/>
      <c r="K425" s="22" t="s"/>
      <c r="L425" s="22" t="s"/>
      <c r="M425" s="22" t="s"/>
      <c r="N425" s="22" t="s"/>
      <c r="O425" s="22" t="s"/>
      <c r="P425" s="22" t="s"/>
      <c r="Q425" s="22" t="s"/>
      <c r="R425" s="22" t="s"/>
      <c r="S425" s="22" t="s"/>
      <c r="T425" s="22" t="s"/>
      <c r="U425" s="22" t="s"/>
      <c r="V425" s="22" t="s"/>
      <c r="W425" s="22" t="s"/>
      <c r="X425" s="22" t="s"/>
      <c r="Y425" s="22" t="s"/>
      <c r="Z425" s="22" t="s"/>
    </row>
    <row r="426" spans="1:26" ht="16.8" customHeight="true">
      <c r="A426" s="41" t="s">
        <v>1359</v>
      </c>
      <c r="B426" s="30" t="s">
        <v>1360</v>
      </c>
      <c r="C426" s="30" t="s">
        <v>165</v>
      </c>
      <c r="D426" s="30" t="s"/>
      <c r="E426" s="31" t="s">
        <v>282</v>
      </c>
      <c r="F426" s="22" t="s"/>
      <c r="G426" s="22" t="s"/>
      <c r="H426" s="22" t="s"/>
      <c r="I426" s="22" t="s"/>
      <c r="J426" s="22" t="s"/>
      <c r="K426" s="22" t="s"/>
      <c r="L426" s="22" t="s"/>
      <c r="M426" s="22" t="s"/>
      <c r="N426" s="22" t="s"/>
      <c r="O426" s="22" t="s"/>
      <c r="P426" s="22" t="s"/>
      <c r="Q426" s="22" t="s"/>
      <c r="R426" s="22" t="s"/>
      <c r="S426" s="22" t="s"/>
      <c r="T426" s="22" t="s"/>
      <c r="U426" s="22" t="s"/>
      <c r="V426" s="22" t="s"/>
      <c r="W426" s="22" t="s"/>
      <c r="X426" s="22" t="s"/>
      <c r="Y426" s="22" t="s"/>
      <c r="Z426" s="22" t="s"/>
    </row>
    <row r="427" spans="1:26" ht="16.8" customHeight="true">
      <c r="A427" s="47" t="s">
        <v>464</v>
      </c>
      <c r="B427" s="30" t="s">
        <v>182</v>
      </c>
      <c r="C427" s="30" t="s">
        <v>165</v>
      </c>
      <c r="D427" s="30" t="s"/>
      <c r="E427" s="31" t="s">
        <v>1361</v>
      </c>
      <c r="F427" s="22" t="s"/>
      <c r="G427" s="22" t="s"/>
      <c r="H427" s="22" t="s"/>
      <c r="I427" s="22" t="s"/>
      <c r="J427" s="22" t="s"/>
      <c r="K427" s="22" t="s"/>
      <c r="L427" s="22" t="s"/>
      <c r="M427" s="22" t="s"/>
      <c r="N427" s="22" t="s"/>
      <c r="O427" s="22" t="s"/>
      <c r="P427" s="22" t="s"/>
      <c r="Q427" s="22" t="s"/>
      <c r="R427" s="22" t="s"/>
      <c r="S427" s="22" t="s"/>
      <c r="T427" s="22" t="s"/>
      <c r="U427" s="22" t="s"/>
      <c r="V427" s="22" t="s"/>
      <c r="W427" s="22" t="s"/>
      <c r="X427" s="22" t="s"/>
      <c r="Y427" s="22" t="s"/>
      <c r="Z427" s="22" t="s"/>
    </row>
    <row r="428" spans="1:26" ht="16.8" customHeight="true">
      <c r="A428" s="47" t="s">
        <v>1362</v>
      </c>
      <c r="B428" s="30" t="s">
        <v>1363</v>
      </c>
      <c r="C428" s="30" t="s">
        <v>165</v>
      </c>
      <c r="D428" s="30" t="s"/>
      <c r="E428" s="31" t="s">
        <v>1364</v>
      </c>
      <c r="F428" s="22" t="s"/>
      <c r="G428" s="22" t="s"/>
      <c r="H428" s="22" t="s"/>
      <c r="I428" s="22" t="s"/>
      <c r="J428" s="22" t="s"/>
      <c r="K428" s="22" t="s"/>
      <c r="L428" s="22" t="s"/>
      <c r="M428" s="22" t="s"/>
      <c r="N428" s="22" t="s"/>
      <c r="O428" s="22" t="s"/>
      <c r="P428" s="22" t="s"/>
      <c r="Q428" s="22" t="s"/>
      <c r="R428" s="22" t="s"/>
      <c r="S428" s="22" t="s"/>
      <c r="T428" s="22" t="s"/>
      <c r="U428" s="22" t="s"/>
      <c r="V428" s="22" t="s"/>
      <c r="W428" s="22" t="s"/>
      <c r="X428" s="22" t="s"/>
      <c r="Y428" s="22" t="s"/>
      <c r="Z428" s="22" t="s"/>
    </row>
    <row r="429" spans="1:26" ht="16.8" customHeight="true">
      <c r="A429" s="47" t="s">
        <v>519</v>
      </c>
      <c r="B429" s="30" t="s">
        <v>1365</v>
      </c>
      <c r="C429" s="30" t="s">
        <v>152</v>
      </c>
      <c r="D429" s="30" t="s"/>
      <c r="E429" s="31" t="s">
        <v>1366</v>
      </c>
      <c r="F429" s="22" t="s"/>
      <c r="G429" s="22" t="s"/>
      <c r="H429" s="22" t="s"/>
      <c r="I429" s="22" t="s"/>
      <c r="J429" s="22" t="s"/>
      <c r="K429" s="22" t="s"/>
      <c r="L429" s="22" t="s"/>
      <c r="M429" s="22" t="s"/>
      <c r="N429" s="22" t="s"/>
      <c r="O429" s="22" t="s"/>
      <c r="P429" s="22" t="s"/>
      <c r="Q429" s="22" t="s"/>
      <c r="R429" s="22" t="s"/>
      <c r="S429" s="22" t="s"/>
      <c r="T429" s="22" t="s"/>
      <c r="U429" s="22" t="s"/>
      <c r="V429" s="22" t="s"/>
      <c r="W429" s="22" t="s"/>
      <c r="X429" s="22" t="s"/>
      <c r="Y429" s="22" t="s"/>
      <c r="Z429" s="22" t="s"/>
    </row>
    <row r="430" spans="1:26" ht="16.8" customHeight="true">
      <c r="A430" s="47" t="s">
        <v>1367</v>
      </c>
      <c r="B430" s="30" t="s">
        <v>1368</v>
      </c>
      <c r="C430" s="30" t="s">
        <v>236</v>
      </c>
      <c r="D430" s="30" t="s">
        <v>232</v>
      </c>
      <c r="E430" s="31" t="s">
        <v>1369</v>
      </c>
      <c r="F430" s="22" t="s"/>
      <c r="G430" s="22" t="s"/>
      <c r="H430" s="22" t="s"/>
      <c r="I430" s="22" t="s"/>
      <c r="J430" s="22" t="s"/>
      <c r="K430" s="22" t="s"/>
      <c r="L430" s="22" t="s"/>
      <c r="M430" s="22" t="s"/>
      <c r="N430" s="22" t="s"/>
      <c r="O430" s="22" t="s"/>
      <c r="P430" s="22" t="s"/>
      <c r="Q430" s="22" t="s"/>
      <c r="R430" s="22" t="s"/>
      <c r="S430" s="22" t="s"/>
      <c r="T430" s="22" t="s"/>
      <c r="U430" s="22" t="s"/>
      <c r="V430" s="22" t="s"/>
      <c r="W430" s="22" t="s"/>
      <c r="X430" s="22" t="s"/>
      <c r="Y430" s="22" t="s"/>
      <c r="Z430" s="22" t="s"/>
    </row>
    <row r="431" spans="1:26" ht="16.8" customHeight="true">
      <c r="A431" s="47" t="s">
        <v>1370</v>
      </c>
      <c r="B431" s="30" t="s">
        <v>1371</v>
      </c>
      <c r="C431" s="30" t="s">
        <v>165</v>
      </c>
      <c r="D431" s="30" t="s"/>
      <c r="E431" s="31" t="s">
        <v>1372</v>
      </c>
      <c r="F431" s="22" t="s"/>
      <c r="G431" s="22" t="s"/>
      <c r="H431" s="22" t="s"/>
      <c r="I431" s="22" t="s"/>
      <c r="J431" s="22" t="s"/>
      <c r="K431" s="22" t="s"/>
      <c r="L431" s="22" t="s"/>
      <c r="M431" s="22" t="s"/>
      <c r="N431" s="22" t="s"/>
      <c r="O431" s="22" t="s"/>
      <c r="P431" s="22" t="s"/>
      <c r="Q431" s="22" t="s"/>
      <c r="R431" s="22" t="s"/>
      <c r="S431" s="22" t="s"/>
      <c r="T431" s="22" t="s"/>
      <c r="U431" s="22" t="s"/>
      <c r="V431" s="22" t="s"/>
      <c r="W431" s="22" t="s"/>
      <c r="X431" s="22" t="s"/>
      <c r="Y431" s="22" t="s"/>
      <c r="Z431" s="22" t="s"/>
    </row>
    <row r="432" spans="1:26" ht="16.8" customHeight="true">
      <c r="A432" s="41" t="s">
        <v>307</v>
      </c>
      <c r="B432" s="30" t="s">
        <v>308</v>
      </c>
      <c r="C432" s="30" t="s">
        <v>165</v>
      </c>
      <c r="D432" s="30" t="s"/>
      <c r="E432" s="31" t="s">
        <v>1373</v>
      </c>
      <c r="F432" s="22" t="s"/>
      <c r="G432" s="22" t="s"/>
      <c r="H432" s="22" t="s"/>
      <c r="I432" s="22" t="s"/>
      <c r="J432" s="22" t="s"/>
      <c r="K432" s="22" t="s"/>
      <c r="L432" s="22" t="s"/>
      <c r="M432" s="22" t="s"/>
      <c r="N432" s="22" t="s"/>
      <c r="O432" s="22" t="s"/>
      <c r="P432" s="22" t="s"/>
      <c r="Q432" s="22" t="s"/>
      <c r="R432" s="22" t="s"/>
      <c r="S432" s="22" t="s"/>
      <c r="T432" s="22" t="s"/>
      <c r="U432" s="22" t="s"/>
      <c r="V432" s="22" t="s"/>
      <c r="W432" s="22" t="s"/>
      <c r="X432" s="22" t="s"/>
      <c r="Y432" s="22" t="s"/>
      <c r="Z432" s="22" t="s"/>
    </row>
    <row r="433" spans="1:26" ht="16.8" customHeight="true">
      <c r="A433" s="47" t="s">
        <v>1374</v>
      </c>
      <c r="B433" s="30" t="s">
        <v>1375</v>
      </c>
      <c r="C433" s="30" t="s">
        <v>165</v>
      </c>
      <c r="D433" s="30" t="s"/>
      <c r="E433" s="31" t="s">
        <v>177</v>
      </c>
      <c r="F433" s="22" t="s"/>
      <c r="G433" s="22" t="s"/>
      <c r="H433" s="22" t="s"/>
      <c r="I433" s="22" t="s"/>
      <c r="J433" s="22" t="s"/>
      <c r="K433" s="22" t="s"/>
      <c r="L433" s="22" t="s"/>
      <c r="M433" s="22" t="s"/>
      <c r="N433" s="22" t="s"/>
      <c r="O433" s="22" t="s"/>
      <c r="P433" s="22" t="s"/>
      <c r="Q433" s="22" t="s"/>
      <c r="R433" s="22" t="s"/>
      <c r="S433" s="22" t="s"/>
      <c r="T433" s="22" t="s"/>
      <c r="U433" s="22" t="s"/>
      <c r="V433" s="22" t="s"/>
      <c r="W433" s="22" t="s"/>
      <c r="X433" s="22" t="s"/>
      <c r="Y433" s="22" t="s"/>
      <c r="Z433" s="22" t="s"/>
    </row>
    <row r="434" spans="1:26" ht="16.8" customHeight="true">
      <c r="A434" s="47" t="s">
        <v>1376</v>
      </c>
      <c r="B434" s="30" t="s">
        <v>1377</v>
      </c>
      <c r="C434" s="30" t="s">
        <v>165</v>
      </c>
      <c r="D434" s="30" t="s"/>
      <c r="E434" s="31" t="s">
        <v>1177</v>
      </c>
      <c r="F434" s="22" t="s"/>
      <c r="G434" s="22" t="s"/>
      <c r="H434" s="22" t="s"/>
      <c r="I434" s="22" t="s"/>
      <c r="J434" s="22" t="s"/>
      <c r="K434" s="22" t="s"/>
      <c r="L434" s="22" t="s"/>
      <c r="M434" s="22" t="s"/>
      <c r="N434" s="22" t="s"/>
      <c r="O434" s="22" t="s"/>
      <c r="P434" s="22" t="s"/>
      <c r="Q434" s="22" t="s"/>
      <c r="R434" s="22" t="s"/>
      <c r="S434" s="22" t="s"/>
      <c r="T434" s="22" t="s"/>
      <c r="U434" s="22" t="s"/>
      <c r="V434" s="22" t="s"/>
      <c r="W434" s="22" t="s"/>
      <c r="X434" s="22" t="s"/>
      <c r="Y434" s="22" t="s"/>
      <c r="Z434" s="22" t="s"/>
    </row>
    <row r="435" spans="1:26" ht="16.8" customHeight="true">
      <c r="A435" s="47" t="s">
        <v>1378</v>
      </c>
      <c r="B435" s="30" t="s">
        <v>1379</v>
      </c>
      <c r="C435" s="30" t="s">
        <v>165</v>
      </c>
      <c r="D435" s="30" t="s"/>
      <c r="E435" s="31" t="s">
        <v>1380</v>
      </c>
      <c r="F435" s="22" t="s"/>
      <c r="G435" s="22" t="s"/>
      <c r="H435" s="22" t="s"/>
      <c r="I435" s="22" t="s"/>
      <c r="J435" s="22" t="s"/>
      <c r="K435" s="22" t="s"/>
      <c r="L435" s="22" t="s"/>
      <c r="M435" s="22" t="s"/>
      <c r="N435" s="22" t="s"/>
      <c r="O435" s="22" t="s"/>
      <c r="P435" s="22" t="s"/>
      <c r="Q435" s="22" t="s"/>
      <c r="R435" s="22" t="s"/>
      <c r="S435" s="22" t="s"/>
      <c r="T435" s="22" t="s"/>
      <c r="U435" s="22" t="s"/>
      <c r="V435" s="22" t="s"/>
      <c r="W435" s="22" t="s"/>
      <c r="X435" s="22" t="s"/>
      <c r="Y435" s="22" t="s"/>
      <c r="Z435" s="22" t="s"/>
    </row>
    <row r="436" spans="1:26" ht="16.8" customHeight="true">
      <c r="A436" s="47" t="s">
        <v>1381</v>
      </c>
      <c r="B436" s="30" t="s">
        <v>1382</v>
      </c>
      <c r="C436" s="30" t="s">
        <v>351</v>
      </c>
      <c r="D436" s="30" t="s">
        <v>148</v>
      </c>
      <c r="E436" s="31" t="s">
        <v>1383</v>
      </c>
      <c r="F436" s="22" t="s"/>
      <c r="G436" s="22" t="s"/>
      <c r="H436" s="22" t="s"/>
      <c r="I436" s="22" t="s"/>
      <c r="J436" s="22" t="s"/>
      <c r="K436" s="22" t="s"/>
      <c r="L436" s="22" t="s"/>
      <c r="M436" s="22" t="s"/>
      <c r="N436" s="22" t="s"/>
      <c r="O436" s="22" t="s"/>
      <c r="P436" s="22" t="s"/>
      <c r="Q436" s="22" t="s"/>
      <c r="R436" s="22" t="s"/>
      <c r="S436" s="22" t="s"/>
      <c r="T436" s="22" t="s"/>
      <c r="U436" s="22" t="s"/>
      <c r="V436" s="22" t="s"/>
      <c r="W436" s="22" t="s"/>
      <c r="X436" s="22" t="s"/>
      <c r="Y436" s="22" t="s"/>
      <c r="Z436" s="22" t="s"/>
    </row>
    <row r="437" spans="1:26" ht="16.8" customHeight="true">
      <c r="A437" s="47" t="s">
        <v>1384</v>
      </c>
      <c r="B437" s="30" t="s">
        <v>1385</v>
      </c>
      <c r="C437" s="30" t="s">
        <v>165</v>
      </c>
      <c r="D437" s="30" t="s"/>
      <c r="E437" s="31" t="s">
        <v>1386</v>
      </c>
      <c r="F437" s="22" t="s"/>
      <c r="G437" s="22" t="s"/>
      <c r="H437" s="22" t="s"/>
      <c r="I437" s="22" t="s"/>
      <c r="J437" s="22" t="s"/>
      <c r="K437" s="22" t="s"/>
      <c r="L437" s="22" t="s"/>
      <c r="M437" s="22" t="s"/>
      <c r="N437" s="22" t="s"/>
      <c r="O437" s="22" t="s"/>
      <c r="P437" s="22" t="s"/>
      <c r="Q437" s="22" t="s"/>
      <c r="R437" s="22" t="s"/>
      <c r="S437" s="22" t="s"/>
      <c r="T437" s="22" t="s"/>
      <c r="U437" s="22" t="s"/>
      <c r="V437" s="22" t="s"/>
      <c r="W437" s="22" t="s"/>
      <c r="X437" s="22" t="s"/>
      <c r="Y437" s="22" t="s"/>
      <c r="Z437" s="22" t="s"/>
    </row>
    <row r="438" spans="1:26" ht="16.8" customHeight="true">
      <c r="A438" s="41" t="s">
        <v>1387</v>
      </c>
      <c r="B438" s="30" t="s">
        <v>1388</v>
      </c>
      <c r="C438" s="30" t="s">
        <v>443</v>
      </c>
      <c r="D438" s="30" t="s">
        <v>232</v>
      </c>
      <c r="E438" s="31" t="s">
        <v>288</v>
      </c>
      <c r="F438" s="22" t="s"/>
      <c r="G438" s="22" t="s"/>
      <c r="H438" s="22" t="s"/>
      <c r="I438" s="22" t="s"/>
      <c r="J438" s="22" t="s"/>
      <c r="K438" s="22" t="s"/>
      <c r="L438" s="22" t="s"/>
      <c r="M438" s="22" t="s"/>
      <c r="N438" s="22" t="s"/>
      <c r="O438" s="22" t="s"/>
      <c r="P438" s="22" t="s"/>
      <c r="Q438" s="22" t="s"/>
      <c r="R438" s="22" t="s"/>
      <c r="S438" s="22" t="s"/>
      <c r="T438" s="22" t="s"/>
      <c r="U438" s="22" t="s"/>
      <c r="V438" s="22" t="s"/>
      <c r="W438" s="22" t="s"/>
      <c r="X438" s="22" t="s"/>
      <c r="Y438" s="22" t="s"/>
      <c r="Z438" s="22" t="s"/>
    </row>
    <row r="439" spans="1:26" ht="16.8" customHeight="true">
      <c r="A439" s="47" t="s">
        <v>1389</v>
      </c>
      <c r="B439" s="30" t="s">
        <v>1390</v>
      </c>
      <c r="C439" s="30" t="s">
        <v>165</v>
      </c>
      <c r="D439" s="30" t="s"/>
      <c r="E439" s="31" t="s">
        <v>193</v>
      </c>
      <c r="F439" s="22" t="s"/>
      <c r="G439" s="22" t="s"/>
      <c r="H439" s="22" t="s"/>
      <c r="I439" s="22" t="s"/>
      <c r="J439" s="22" t="s"/>
      <c r="K439" s="22" t="s"/>
      <c r="L439" s="22" t="s"/>
      <c r="M439" s="22" t="s"/>
      <c r="N439" s="22" t="s"/>
      <c r="O439" s="22" t="s"/>
      <c r="P439" s="22" t="s"/>
      <c r="Q439" s="22" t="s"/>
      <c r="R439" s="22" t="s"/>
      <c r="S439" s="22" t="s"/>
      <c r="T439" s="22" t="s"/>
      <c r="U439" s="22" t="s"/>
      <c r="V439" s="22" t="s"/>
      <c r="W439" s="22" t="s"/>
      <c r="X439" s="22" t="s"/>
      <c r="Y439" s="22" t="s"/>
      <c r="Z439" s="22" t="s"/>
    </row>
    <row r="440" spans="1:26" ht="16.8" customHeight="true">
      <c r="A440" s="47" t="s">
        <v>1391</v>
      </c>
      <c r="B440" s="30" t="s">
        <v>1392</v>
      </c>
      <c r="C440" s="30" t="s">
        <v>1393</v>
      </c>
      <c r="D440" s="30" t="s">
        <v>1394</v>
      </c>
      <c r="E440" s="31" t="s">
        <v>1395</v>
      </c>
      <c r="F440" s="22" t="s"/>
      <c r="G440" s="22" t="s"/>
      <c r="H440" s="22" t="s"/>
      <c r="I440" s="22" t="s"/>
      <c r="J440" s="22" t="s"/>
      <c r="K440" s="22" t="s"/>
      <c r="L440" s="22" t="s"/>
      <c r="M440" s="22" t="s"/>
      <c r="N440" s="22" t="s"/>
      <c r="O440" s="22" t="s"/>
      <c r="P440" s="22" t="s"/>
      <c r="Q440" s="22" t="s"/>
      <c r="R440" s="22" t="s"/>
      <c r="S440" s="22" t="s"/>
      <c r="T440" s="22" t="s"/>
      <c r="U440" s="22" t="s"/>
      <c r="V440" s="22" t="s"/>
      <c r="W440" s="22" t="s"/>
      <c r="X440" s="22" t="s"/>
      <c r="Y440" s="22" t="s"/>
      <c r="Z440" s="22" t="s"/>
    </row>
    <row r="441" spans="1:26" ht="16.8" customHeight="true">
      <c r="A441" s="47" t="s">
        <v>200</v>
      </c>
      <c r="B441" s="30" t="s">
        <v>201</v>
      </c>
      <c r="C441" s="30" t="s">
        <v>165</v>
      </c>
      <c r="D441" s="30" t="s"/>
      <c r="E441" s="31" t="s">
        <v>1396</v>
      </c>
      <c r="F441" s="22" t="s"/>
      <c r="G441" s="22" t="s"/>
      <c r="H441" s="22" t="s"/>
      <c r="I441" s="22" t="s"/>
      <c r="J441" s="22" t="s"/>
      <c r="K441" s="22" t="s"/>
      <c r="L441" s="22" t="s"/>
      <c r="M441" s="22" t="s"/>
      <c r="N441" s="22" t="s"/>
      <c r="O441" s="22" t="s"/>
      <c r="P441" s="22" t="s"/>
      <c r="Q441" s="22" t="s"/>
      <c r="R441" s="22" t="s"/>
      <c r="S441" s="22" t="s"/>
      <c r="T441" s="22" t="s"/>
      <c r="U441" s="22" t="s"/>
      <c r="V441" s="22" t="s"/>
      <c r="W441" s="22" t="s"/>
      <c r="X441" s="22" t="s"/>
      <c r="Y441" s="22" t="s"/>
      <c r="Z441" s="22" t="s"/>
    </row>
    <row r="442" spans="1:26" ht="16.8" customHeight="true">
      <c r="A442" s="47" t="s">
        <v>1397</v>
      </c>
      <c r="B442" s="30" t="s">
        <v>1398</v>
      </c>
      <c r="C442" s="30" t="s">
        <v>351</v>
      </c>
      <c r="D442" s="30" t="s">
        <v>1394</v>
      </c>
      <c r="E442" s="31" t="s">
        <v>1399</v>
      </c>
      <c r="F442" s="22" t="s"/>
      <c r="G442" s="22" t="s"/>
      <c r="H442" s="22" t="s"/>
      <c r="I442" s="22" t="s"/>
      <c r="J442" s="22" t="s"/>
      <c r="K442" s="22" t="s"/>
      <c r="L442" s="22" t="s"/>
      <c r="M442" s="22" t="s"/>
      <c r="N442" s="22" t="s"/>
      <c r="O442" s="22" t="s"/>
      <c r="P442" s="22" t="s"/>
      <c r="Q442" s="22" t="s"/>
      <c r="R442" s="22" t="s"/>
      <c r="S442" s="22" t="s"/>
      <c r="T442" s="22" t="s"/>
      <c r="U442" s="22" t="s"/>
      <c r="V442" s="22" t="s"/>
      <c r="W442" s="22" t="s"/>
      <c r="X442" s="22" t="s"/>
      <c r="Y442" s="22" t="s"/>
      <c r="Z442" s="22" t="s"/>
    </row>
    <row r="443" spans="1:26" ht="16.8" customHeight="true">
      <c r="A443" s="47" t="s">
        <v>1400</v>
      </c>
      <c r="B443" s="30" t="s">
        <v>1401</v>
      </c>
      <c r="C443" s="30" t="s">
        <v>165</v>
      </c>
      <c r="D443" s="30" t="s"/>
      <c r="E443" s="31" t="s">
        <v>1402</v>
      </c>
      <c r="F443" s="22" t="s"/>
      <c r="G443" s="22" t="s"/>
      <c r="H443" s="22" t="s"/>
      <c r="I443" s="22" t="s"/>
      <c r="J443" s="22" t="s"/>
      <c r="K443" s="22" t="s"/>
      <c r="L443" s="22" t="s"/>
      <c r="M443" s="22" t="s"/>
      <c r="N443" s="22" t="s"/>
      <c r="O443" s="22" t="s"/>
      <c r="P443" s="22" t="s"/>
      <c r="Q443" s="22" t="s"/>
      <c r="R443" s="22" t="s"/>
      <c r="S443" s="22" t="s"/>
      <c r="T443" s="22" t="s"/>
      <c r="U443" s="22" t="s"/>
      <c r="V443" s="22" t="s"/>
      <c r="W443" s="22" t="s"/>
      <c r="X443" s="22" t="s"/>
      <c r="Y443" s="22" t="s"/>
      <c r="Z443" s="22" t="s"/>
    </row>
    <row r="444" spans="1:26" ht="16.8" customHeight="true">
      <c r="A444" s="41" t="s">
        <v>1403</v>
      </c>
      <c r="B444" s="30" t="s">
        <v>1404</v>
      </c>
      <c r="C444" s="30" t="s">
        <v>165</v>
      </c>
      <c r="D444" s="30" t="s"/>
      <c r="E444" s="31" t="s">
        <v>1405</v>
      </c>
      <c r="F444" s="22" t="s"/>
      <c r="G444" s="22" t="s"/>
      <c r="H444" s="22" t="s"/>
      <c r="I444" s="22" t="s"/>
      <c r="J444" s="22" t="s"/>
      <c r="K444" s="22" t="s"/>
      <c r="L444" s="22" t="s"/>
      <c r="M444" s="22" t="s"/>
      <c r="N444" s="22" t="s"/>
      <c r="O444" s="22" t="s"/>
      <c r="P444" s="22" t="s"/>
      <c r="Q444" s="22" t="s"/>
      <c r="R444" s="22" t="s"/>
      <c r="S444" s="22" t="s"/>
      <c r="T444" s="22" t="s"/>
      <c r="U444" s="22" t="s"/>
      <c r="V444" s="22" t="s"/>
      <c r="W444" s="22" t="s"/>
      <c r="X444" s="22" t="s"/>
      <c r="Y444" s="22" t="s"/>
      <c r="Z444" s="22" t="s"/>
    </row>
    <row r="445" spans="1:26" ht="16.8" customHeight="true">
      <c r="A445" s="47" t="s">
        <v>1406</v>
      </c>
      <c r="B445" s="30" t="s">
        <v>1407</v>
      </c>
      <c r="C445" s="30" t="s">
        <v>165</v>
      </c>
      <c r="D445" s="30" t="s"/>
      <c r="E445" s="31" t="s">
        <v>1408</v>
      </c>
      <c r="F445" s="22" t="s"/>
      <c r="G445" s="22" t="s"/>
      <c r="H445" s="22" t="s"/>
      <c r="I445" s="22" t="s"/>
      <c r="J445" s="22" t="s"/>
      <c r="K445" s="22" t="s"/>
      <c r="L445" s="22" t="s"/>
      <c r="M445" s="22" t="s"/>
      <c r="N445" s="22" t="s"/>
      <c r="O445" s="22" t="s"/>
      <c r="P445" s="22" t="s"/>
      <c r="Q445" s="22" t="s"/>
      <c r="R445" s="22" t="s"/>
      <c r="S445" s="22" t="s"/>
      <c r="T445" s="22" t="s"/>
      <c r="U445" s="22" t="s"/>
      <c r="V445" s="22" t="s"/>
      <c r="W445" s="22" t="s"/>
      <c r="X445" s="22" t="s"/>
      <c r="Y445" s="22" t="s"/>
      <c r="Z445" s="22" t="s"/>
    </row>
    <row r="446" spans="1:26" ht="16.8" customHeight="true">
      <c r="A446" s="47" t="s">
        <v>1409</v>
      </c>
      <c r="B446" s="30" t="s">
        <v>1410</v>
      </c>
      <c r="C446" s="30" t="s">
        <v>165</v>
      </c>
      <c r="D446" s="30" t="s"/>
      <c r="E446" s="31" t="s">
        <v>211</v>
      </c>
      <c r="F446" s="22" t="s"/>
      <c r="G446" s="22" t="s"/>
      <c r="H446" s="22" t="s"/>
      <c r="I446" s="22" t="s"/>
      <c r="J446" s="22" t="s"/>
      <c r="K446" s="22" t="s"/>
      <c r="L446" s="22" t="s"/>
      <c r="M446" s="22" t="s"/>
      <c r="N446" s="22" t="s"/>
      <c r="O446" s="22" t="s"/>
      <c r="P446" s="22" t="s"/>
      <c r="Q446" s="22" t="s"/>
      <c r="R446" s="22" t="s"/>
      <c r="S446" s="22" t="s"/>
      <c r="T446" s="22" t="s"/>
      <c r="U446" s="22" t="s"/>
      <c r="V446" s="22" t="s"/>
      <c r="W446" s="22" t="s"/>
      <c r="X446" s="22" t="s"/>
      <c r="Y446" s="22" t="s"/>
      <c r="Z446" s="22" t="s"/>
    </row>
    <row r="447" spans="1:26" ht="16.8" customHeight="true">
      <c r="A447" s="47" t="s">
        <v>1411</v>
      </c>
      <c r="B447" s="30" t="s">
        <v>1412</v>
      </c>
      <c r="C447" s="30" t="s">
        <v>165</v>
      </c>
      <c r="D447" s="30" t="s"/>
      <c r="E447" s="31" t="s">
        <v>1413</v>
      </c>
      <c r="F447" s="22" t="s"/>
      <c r="G447" s="22" t="s"/>
      <c r="H447" s="22" t="s"/>
      <c r="I447" s="22" t="s"/>
      <c r="J447" s="22" t="s"/>
      <c r="K447" s="22" t="s"/>
      <c r="L447" s="22" t="s"/>
      <c r="M447" s="22" t="s"/>
      <c r="N447" s="22" t="s"/>
      <c r="O447" s="22" t="s"/>
      <c r="P447" s="22" t="s"/>
      <c r="Q447" s="22" t="s"/>
      <c r="R447" s="22" t="s"/>
      <c r="S447" s="22" t="s"/>
      <c r="T447" s="22" t="s"/>
      <c r="U447" s="22" t="s"/>
      <c r="V447" s="22" t="s"/>
      <c r="W447" s="22" t="s"/>
      <c r="X447" s="22" t="s"/>
      <c r="Y447" s="22" t="s"/>
      <c r="Z447" s="22" t="s"/>
    </row>
    <row r="448" spans="1:26" ht="16.8" customHeight="true">
      <c r="A448" s="47" t="s">
        <v>1145</v>
      </c>
      <c r="B448" s="30" t="s">
        <v>1146</v>
      </c>
      <c r="C448" s="30" t="s">
        <v>165</v>
      </c>
      <c r="D448" s="30" t="s"/>
      <c r="E448" s="31" t="s">
        <v>1414</v>
      </c>
      <c r="F448" s="22" t="s"/>
      <c r="G448" s="22" t="s"/>
      <c r="H448" s="22" t="s"/>
      <c r="I448" s="22" t="s"/>
      <c r="J448" s="22" t="s"/>
      <c r="K448" s="22" t="s"/>
      <c r="L448" s="22" t="s"/>
      <c r="M448" s="22" t="s"/>
      <c r="N448" s="22" t="s"/>
      <c r="O448" s="22" t="s"/>
      <c r="P448" s="22" t="s"/>
      <c r="Q448" s="22" t="s"/>
      <c r="R448" s="22" t="s"/>
      <c r="S448" s="22" t="s"/>
      <c r="T448" s="22" t="s"/>
      <c r="U448" s="22" t="s"/>
      <c r="V448" s="22" t="s"/>
      <c r="W448" s="22" t="s"/>
      <c r="X448" s="22" t="s"/>
      <c r="Y448" s="22" t="s"/>
      <c r="Z448" s="22" t="s"/>
    </row>
    <row r="449" spans="1:26" ht="16.8" customHeight="true">
      <c r="A449" s="47" t="s">
        <v>1415</v>
      </c>
      <c r="B449" s="30" t="s">
        <v>1416</v>
      </c>
      <c r="C449" s="30" t="s">
        <v>443</v>
      </c>
      <c r="D449" s="30" t="s"/>
      <c r="E449" s="31" t="s">
        <v>1417</v>
      </c>
      <c r="F449" s="22" t="s"/>
      <c r="G449" s="22" t="s"/>
      <c r="H449" s="22" t="s"/>
      <c r="I449" s="22" t="s"/>
      <c r="J449" s="22" t="s"/>
      <c r="K449" s="22" t="s"/>
      <c r="L449" s="22" t="s"/>
      <c r="M449" s="22" t="s"/>
      <c r="N449" s="22" t="s"/>
      <c r="O449" s="22" t="s"/>
      <c r="P449" s="22" t="s"/>
      <c r="Q449" s="22" t="s"/>
      <c r="R449" s="22" t="s"/>
      <c r="S449" s="22" t="s"/>
      <c r="T449" s="22" t="s"/>
      <c r="U449" s="22" t="s"/>
      <c r="V449" s="22" t="s"/>
      <c r="W449" s="22" t="s"/>
      <c r="X449" s="22" t="s"/>
      <c r="Y449" s="22" t="s"/>
      <c r="Z449" s="22" t="s"/>
    </row>
    <row r="450" spans="1:26" ht="16.8" customHeight="true">
      <c r="A450" s="41" t="s">
        <v>1418</v>
      </c>
      <c r="B450" s="30" t="s">
        <v>1419</v>
      </c>
      <c r="C450" s="30" t="s">
        <v>152</v>
      </c>
      <c r="D450" s="30" t="s">
        <v>1420</v>
      </c>
      <c r="E450" s="31" t="s">
        <v>1421</v>
      </c>
      <c r="F450" s="22" t="s"/>
      <c r="G450" s="22" t="s"/>
      <c r="H450" s="22" t="s"/>
      <c r="I450" s="22" t="s"/>
      <c r="J450" s="22" t="s"/>
      <c r="K450" s="22" t="s"/>
      <c r="L450" s="22" t="s"/>
      <c r="M450" s="22" t="s"/>
      <c r="N450" s="22" t="s"/>
      <c r="O450" s="22" t="s"/>
      <c r="P450" s="22" t="s"/>
      <c r="Q450" s="22" t="s"/>
      <c r="R450" s="22" t="s"/>
      <c r="S450" s="22" t="s"/>
      <c r="T450" s="22" t="s"/>
      <c r="U450" s="22" t="s"/>
      <c r="V450" s="22" t="s"/>
      <c r="W450" s="22" t="s"/>
      <c r="X450" s="22" t="s"/>
      <c r="Y450" s="22" t="s"/>
      <c r="Z450" s="22" t="s"/>
    </row>
    <row r="451" spans="1:26" ht="16.8" customHeight="true">
      <c r="A451" s="47" t="s">
        <v>1422</v>
      </c>
      <c r="B451" s="30" t="s">
        <v>1423</v>
      </c>
      <c r="C451" s="30" t="s">
        <v>236</v>
      </c>
      <c r="D451" s="30" t="s">
        <v>170</v>
      </c>
      <c r="E451" s="31" t="s">
        <v>1424</v>
      </c>
      <c r="F451" s="22" t="s"/>
      <c r="G451" s="22" t="s"/>
      <c r="H451" s="22" t="s"/>
      <c r="I451" s="22" t="s"/>
      <c r="J451" s="22" t="s"/>
      <c r="K451" s="22" t="s"/>
      <c r="L451" s="22" t="s"/>
      <c r="M451" s="22" t="s"/>
      <c r="N451" s="22" t="s"/>
      <c r="O451" s="22" t="s"/>
      <c r="P451" s="22" t="s"/>
      <c r="Q451" s="22" t="s"/>
      <c r="R451" s="22" t="s"/>
      <c r="S451" s="22" t="s"/>
      <c r="T451" s="22" t="s"/>
      <c r="U451" s="22" t="s"/>
      <c r="V451" s="22" t="s"/>
      <c r="W451" s="22" t="s"/>
      <c r="X451" s="22" t="s"/>
      <c r="Y451" s="22" t="s"/>
      <c r="Z451" s="22" t="s"/>
    </row>
    <row r="452" spans="1:26" ht="16.8" customHeight="true">
      <c r="A452" s="47" t="s">
        <v>1425</v>
      </c>
      <c r="B452" s="30" t="s">
        <v>1426</v>
      </c>
      <c r="C452" s="30" t="s">
        <v>152</v>
      </c>
      <c r="D452" s="30" t="s">
        <v>170</v>
      </c>
      <c r="E452" s="31" t="s">
        <v>652</v>
      </c>
      <c r="F452" s="22" t="s"/>
      <c r="G452" s="22" t="s"/>
      <c r="H452" s="22" t="s"/>
      <c r="I452" s="22" t="s"/>
      <c r="J452" s="22" t="s"/>
      <c r="K452" s="22" t="s"/>
      <c r="L452" s="22" t="s"/>
      <c r="M452" s="22" t="s"/>
      <c r="N452" s="22" t="s"/>
      <c r="O452" s="22" t="s"/>
      <c r="P452" s="22" t="s"/>
      <c r="Q452" s="22" t="s"/>
      <c r="R452" s="22" t="s"/>
      <c r="S452" s="22" t="s"/>
      <c r="T452" s="22" t="s"/>
      <c r="U452" s="22" t="s"/>
      <c r="V452" s="22" t="s"/>
      <c r="W452" s="22" t="s"/>
      <c r="X452" s="22" t="s"/>
      <c r="Y452" s="22" t="s"/>
      <c r="Z452" s="22" t="s"/>
    </row>
    <row r="453" spans="1:26" ht="16.8" customHeight="true">
      <c r="A453" s="47" t="s">
        <v>1427</v>
      </c>
      <c r="B453" s="30" t="s">
        <v>1428</v>
      </c>
      <c r="C453" s="30" t="s">
        <v>236</v>
      </c>
      <c r="D453" s="30" t="s">
        <v>170</v>
      </c>
      <c r="E453" s="31" t="s">
        <v>1429</v>
      </c>
      <c r="F453" s="22" t="s"/>
      <c r="G453" s="22" t="s"/>
      <c r="H453" s="22" t="s"/>
      <c r="I453" s="22" t="s"/>
      <c r="J453" s="22" t="s"/>
      <c r="K453" s="22" t="s"/>
      <c r="L453" s="22" t="s"/>
      <c r="M453" s="22" t="s"/>
      <c r="N453" s="22" t="s"/>
      <c r="O453" s="22" t="s"/>
      <c r="P453" s="22" t="s"/>
      <c r="Q453" s="22" t="s"/>
      <c r="R453" s="22" t="s"/>
      <c r="S453" s="22" t="s"/>
      <c r="T453" s="22" t="s"/>
      <c r="U453" s="22" t="s"/>
      <c r="V453" s="22" t="s"/>
      <c r="W453" s="22" t="s"/>
      <c r="X453" s="22" t="s"/>
      <c r="Y453" s="22" t="s"/>
      <c r="Z453" s="22" t="s"/>
    </row>
    <row r="454" spans="1:26" ht="16.8" customHeight="true">
      <c r="A454" s="47" t="s">
        <v>1430</v>
      </c>
      <c r="B454" s="30" t="s">
        <v>1431</v>
      </c>
      <c r="C454" s="30" t="s">
        <v>152</v>
      </c>
      <c r="D454" s="30" t="s">
        <v>170</v>
      </c>
      <c r="E454" s="31" t="s">
        <v>1432</v>
      </c>
      <c r="F454" s="22" t="s"/>
      <c r="G454" s="22" t="s"/>
      <c r="H454" s="22" t="s"/>
      <c r="I454" s="22" t="s"/>
      <c r="J454" s="22" t="s"/>
      <c r="K454" s="22" t="s"/>
      <c r="L454" s="22" t="s"/>
      <c r="M454" s="22" t="s"/>
      <c r="N454" s="22" t="s"/>
      <c r="O454" s="22" t="s"/>
      <c r="P454" s="22" t="s"/>
      <c r="Q454" s="22" t="s"/>
      <c r="R454" s="22" t="s"/>
      <c r="S454" s="22" t="s"/>
      <c r="T454" s="22" t="s"/>
      <c r="U454" s="22" t="s"/>
      <c r="V454" s="22" t="s"/>
      <c r="W454" s="22" t="s"/>
      <c r="X454" s="22" t="s"/>
      <c r="Y454" s="22" t="s"/>
      <c r="Z454" s="22" t="s"/>
    </row>
    <row r="455" spans="1:26" ht="16.8" customHeight="true">
      <c r="A455" s="47" t="s">
        <v>1433</v>
      </c>
      <c r="B455" s="30" t="s">
        <v>1434</v>
      </c>
      <c r="C455" s="30" t="s">
        <v>165</v>
      </c>
      <c r="D455" s="30" t="s"/>
      <c r="E455" s="31" t="s">
        <v>1435</v>
      </c>
      <c r="F455" s="22" t="s"/>
      <c r="G455" s="22" t="s"/>
      <c r="H455" s="22" t="s"/>
      <c r="I455" s="22" t="s"/>
      <c r="J455" s="22" t="s"/>
      <c r="K455" s="22" t="s"/>
      <c r="L455" s="22" t="s"/>
      <c r="M455" s="22" t="s"/>
      <c r="N455" s="22" t="s"/>
      <c r="O455" s="22" t="s"/>
      <c r="P455" s="22" t="s"/>
      <c r="Q455" s="22" t="s"/>
      <c r="R455" s="22" t="s"/>
      <c r="S455" s="22" t="s"/>
      <c r="T455" s="22" t="s"/>
      <c r="U455" s="22" t="s"/>
      <c r="V455" s="22" t="s"/>
      <c r="W455" s="22" t="s"/>
      <c r="X455" s="22" t="s"/>
      <c r="Y455" s="22" t="s"/>
      <c r="Z455" s="22" t="s"/>
    </row>
    <row r="456" spans="1:26" ht="16.8" customHeight="true">
      <c r="A456" s="41" t="s">
        <v>1436</v>
      </c>
      <c r="B456" s="30" t="s">
        <v>1437</v>
      </c>
      <c r="C456" s="30" t="s">
        <v>165</v>
      </c>
      <c r="D456" s="30" t="s"/>
      <c r="E456" s="31" t="s">
        <v>1438</v>
      </c>
      <c r="F456" s="22" t="s"/>
      <c r="G456" s="22" t="s"/>
      <c r="H456" s="22" t="s"/>
      <c r="I456" s="22" t="s"/>
      <c r="J456" s="22" t="s"/>
      <c r="K456" s="22" t="s"/>
      <c r="L456" s="22" t="s"/>
      <c r="M456" s="22" t="s"/>
      <c r="N456" s="22" t="s"/>
      <c r="O456" s="22" t="s"/>
      <c r="P456" s="22" t="s"/>
      <c r="Q456" s="22" t="s"/>
      <c r="R456" s="22" t="s"/>
      <c r="S456" s="22" t="s"/>
      <c r="T456" s="22" t="s"/>
      <c r="U456" s="22" t="s"/>
      <c r="V456" s="22" t="s"/>
      <c r="W456" s="22" t="s"/>
      <c r="X456" s="22" t="s"/>
      <c r="Y456" s="22" t="s"/>
      <c r="Z456" s="22" t="s"/>
    </row>
    <row r="457" spans="1:26" ht="16.8" customHeight="true">
      <c r="A457" s="47" t="s">
        <v>1439</v>
      </c>
      <c r="B457" s="30" t="s">
        <v>1440</v>
      </c>
      <c r="C457" s="30" t="s">
        <v>165</v>
      </c>
      <c r="D457" s="30" t="s"/>
      <c r="E457" s="31" t="s">
        <v>1441</v>
      </c>
      <c r="F457" s="22" t="s"/>
      <c r="G457" s="22" t="s"/>
      <c r="H457" s="22" t="s"/>
      <c r="I457" s="22" t="s"/>
      <c r="J457" s="22" t="s"/>
      <c r="K457" s="22" t="s"/>
      <c r="L457" s="22" t="s"/>
      <c r="M457" s="22" t="s"/>
      <c r="N457" s="22" t="s"/>
      <c r="O457" s="22" t="s"/>
      <c r="P457" s="22" t="s"/>
      <c r="Q457" s="22" t="s"/>
      <c r="R457" s="22" t="s"/>
      <c r="S457" s="22" t="s"/>
      <c r="T457" s="22" t="s"/>
      <c r="U457" s="22" t="s"/>
      <c r="V457" s="22" t="s"/>
      <c r="W457" s="22" t="s"/>
      <c r="X457" s="22" t="s"/>
      <c r="Y457" s="22" t="s"/>
      <c r="Z457" s="22" t="s"/>
    </row>
    <row r="458" spans="1:26" ht="16.8" customHeight="true">
      <c r="A458" s="47" t="s">
        <v>1442</v>
      </c>
      <c r="B458" s="30" t="s">
        <v>1443</v>
      </c>
      <c r="C458" s="30" t="s">
        <v>165</v>
      </c>
      <c r="D458" s="30" t="s"/>
      <c r="E458" s="31" t="s">
        <v>1444</v>
      </c>
      <c r="F458" s="22" t="s"/>
      <c r="G458" s="22" t="s"/>
      <c r="H458" s="22" t="s"/>
      <c r="I458" s="22" t="s"/>
      <c r="J458" s="22" t="s"/>
      <c r="K458" s="22" t="s"/>
      <c r="L458" s="22" t="s"/>
      <c r="M458" s="22" t="s"/>
      <c r="N458" s="22" t="s"/>
      <c r="O458" s="22" t="s"/>
      <c r="P458" s="22" t="s"/>
      <c r="Q458" s="22" t="s"/>
      <c r="R458" s="22" t="s"/>
      <c r="S458" s="22" t="s"/>
      <c r="T458" s="22" t="s"/>
      <c r="U458" s="22" t="s"/>
      <c r="V458" s="22" t="s"/>
      <c r="W458" s="22" t="s"/>
      <c r="X458" s="22" t="s"/>
      <c r="Y458" s="22" t="s"/>
      <c r="Z458" s="22" t="s"/>
    </row>
    <row r="459" spans="1:26" ht="16.8" customHeight="true">
      <c r="A459" s="47" t="s">
        <v>1445</v>
      </c>
      <c r="B459" s="30" t="s">
        <v>1446</v>
      </c>
      <c r="C459" s="30" t="s">
        <v>165</v>
      </c>
      <c r="D459" s="30" t="s"/>
      <c r="E459" s="31" t="s">
        <v>1447</v>
      </c>
      <c r="F459" s="22" t="s"/>
      <c r="G459" s="22" t="s"/>
      <c r="H459" s="22" t="s"/>
      <c r="I459" s="22" t="s"/>
      <c r="J459" s="22" t="s"/>
      <c r="K459" s="22" t="s"/>
      <c r="L459" s="22" t="s"/>
      <c r="M459" s="22" t="s"/>
      <c r="N459" s="22" t="s"/>
      <c r="O459" s="22" t="s"/>
      <c r="P459" s="22" t="s"/>
      <c r="Q459" s="22" t="s"/>
      <c r="R459" s="22" t="s"/>
      <c r="S459" s="22" t="s"/>
      <c r="T459" s="22" t="s"/>
      <c r="U459" s="22" t="s"/>
      <c r="V459" s="22" t="s"/>
      <c r="W459" s="22" t="s"/>
      <c r="X459" s="22" t="s"/>
      <c r="Y459" s="22" t="s"/>
      <c r="Z459" s="22" t="s"/>
    </row>
    <row r="460" spans="1:26" ht="16.8" customHeight="true">
      <c r="A460" s="47" t="s">
        <v>1448</v>
      </c>
      <c r="B460" s="30" t="s">
        <v>1449</v>
      </c>
      <c r="C460" s="30" t="s">
        <v>165</v>
      </c>
      <c r="D460" s="30" t="s"/>
      <c r="E460" s="31" t="s">
        <v>1450</v>
      </c>
      <c r="F460" s="22" t="s"/>
      <c r="G460" s="22" t="s"/>
      <c r="H460" s="22" t="s"/>
      <c r="I460" s="22" t="s"/>
      <c r="J460" s="22" t="s"/>
      <c r="K460" s="22" t="s"/>
      <c r="L460" s="22" t="s"/>
      <c r="M460" s="22" t="s"/>
      <c r="N460" s="22" t="s"/>
      <c r="O460" s="22" t="s"/>
      <c r="P460" s="22" t="s"/>
      <c r="Q460" s="22" t="s"/>
      <c r="R460" s="22" t="s"/>
      <c r="S460" s="22" t="s"/>
      <c r="T460" s="22" t="s"/>
      <c r="U460" s="22" t="s"/>
      <c r="V460" s="22" t="s"/>
      <c r="W460" s="22" t="s"/>
      <c r="X460" s="22" t="s"/>
      <c r="Y460" s="22" t="s"/>
      <c r="Z460" s="22" t="s"/>
    </row>
    <row r="461" spans="1:26" ht="16.8" customHeight="true">
      <c r="A461" s="47" t="s">
        <v>1451</v>
      </c>
      <c r="B461" s="30" t="s">
        <v>1452</v>
      </c>
      <c r="C461" s="30" t="s">
        <v>165</v>
      </c>
      <c r="D461" s="30" t="s"/>
      <c r="E461" s="31" t="s">
        <v>1453</v>
      </c>
      <c r="F461" s="22" t="s"/>
      <c r="G461" s="22" t="s"/>
      <c r="H461" s="22" t="s"/>
      <c r="I461" s="22" t="s"/>
      <c r="J461" s="22" t="s"/>
      <c r="K461" s="22" t="s"/>
      <c r="L461" s="22" t="s"/>
      <c r="M461" s="22" t="s"/>
      <c r="N461" s="22" t="s"/>
      <c r="O461" s="22" t="s"/>
      <c r="P461" s="22" t="s"/>
      <c r="Q461" s="22" t="s"/>
      <c r="R461" s="22" t="s"/>
      <c r="S461" s="22" t="s"/>
      <c r="T461" s="22" t="s"/>
      <c r="U461" s="22" t="s"/>
      <c r="V461" s="22" t="s"/>
      <c r="W461" s="22" t="s"/>
      <c r="X461" s="22" t="s"/>
      <c r="Y461" s="22" t="s"/>
      <c r="Z461" s="22" t="s"/>
    </row>
    <row r="462" spans="1:26" ht="16.8" customHeight="true">
      <c r="A462" s="41" t="s">
        <v>1454</v>
      </c>
      <c r="B462" s="30" t="s">
        <v>1455</v>
      </c>
      <c r="C462" s="30" t="s">
        <v>165</v>
      </c>
      <c r="D462" s="30" t="s"/>
      <c r="E462" s="31" t="s">
        <v>1456</v>
      </c>
      <c r="F462" s="22" t="s"/>
      <c r="G462" s="22" t="s"/>
      <c r="H462" s="22" t="s"/>
      <c r="I462" s="22" t="s"/>
      <c r="J462" s="22" t="s"/>
      <c r="K462" s="22" t="s"/>
      <c r="L462" s="22" t="s"/>
      <c r="M462" s="22" t="s"/>
      <c r="N462" s="22" t="s"/>
      <c r="O462" s="22" t="s"/>
      <c r="P462" s="22" t="s"/>
      <c r="Q462" s="22" t="s"/>
      <c r="R462" s="22" t="s"/>
      <c r="S462" s="22" t="s"/>
      <c r="T462" s="22" t="s"/>
      <c r="U462" s="22" t="s"/>
      <c r="V462" s="22" t="s"/>
      <c r="W462" s="22" t="s"/>
      <c r="X462" s="22" t="s"/>
      <c r="Y462" s="22" t="s"/>
      <c r="Z462" s="22" t="s"/>
    </row>
    <row r="463" spans="1:26" ht="16.8" customHeight="true">
      <c r="A463" s="47" t="s">
        <v>1457</v>
      </c>
      <c r="B463" s="30" t="s">
        <v>1458</v>
      </c>
      <c r="C463" s="30" t="s">
        <v>165</v>
      </c>
      <c r="D463" s="30" t="s"/>
      <c r="E463" s="31" t="s">
        <v>1459</v>
      </c>
      <c r="F463" s="22" t="s"/>
      <c r="G463" s="22" t="s"/>
      <c r="H463" s="22" t="s"/>
      <c r="I463" s="22" t="s"/>
      <c r="J463" s="22" t="s"/>
      <c r="K463" s="22" t="s"/>
      <c r="L463" s="22" t="s"/>
      <c r="M463" s="22" t="s"/>
      <c r="N463" s="22" t="s"/>
      <c r="O463" s="22" t="s"/>
      <c r="P463" s="22" t="s"/>
      <c r="Q463" s="22" t="s"/>
      <c r="R463" s="22" t="s"/>
      <c r="S463" s="22" t="s"/>
      <c r="T463" s="22" t="s"/>
      <c r="U463" s="22" t="s"/>
      <c r="V463" s="22" t="s"/>
      <c r="W463" s="22" t="s"/>
      <c r="X463" s="22" t="s"/>
      <c r="Y463" s="22" t="s"/>
      <c r="Z463" s="22" t="s"/>
    </row>
    <row r="464" spans="1:26" ht="16.8" customHeight="true">
      <c r="A464" s="47" t="s">
        <v>1460</v>
      </c>
      <c r="B464" s="30" t="s">
        <v>182</v>
      </c>
      <c r="C464" s="30" t="s">
        <v>165</v>
      </c>
      <c r="D464" s="30" t="s"/>
      <c r="E464" s="31" t="s">
        <v>1461</v>
      </c>
      <c r="F464" s="22" t="s"/>
      <c r="G464" s="22" t="s"/>
      <c r="H464" s="22" t="s"/>
      <c r="I464" s="22" t="s"/>
      <c r="J464" s="22" t="s"/>
      <c r="K464" s="22" t="s"/>
      <c r="L464" s="22" t="s"/>
      <c r="M464" s="22" t="s"/>
      <c r="N464" s="22" t="s"/>
      <c r="O464" s="22" t="s"/>
      <c r="P464" s="22" t="s"/>
      <c r="Q464" s="22" t="s"/>
      <c r="R464" s="22" t="s"/>
      <c r="S464" s="22" t="s"/>
      <c r="T464" s="22" t="s"/>
      <c r="U464" s="22" t="s"/>
      <c r="V464" s="22" t="s"/>
      <c r="W464" s="22" t="s"/>
      <c r="X464" s="22" t="s"/>
      <c r="Y464" s="22" t="s"/>
      <c r="Z464" s="22" t="s"/>
    </row>
    <row r="465" spans="1:26" ht="16.8" customHeight="true">
      <c r="A465" s="47" t="s">
        <v>1462</v>
      </c>
      <c r="B465" s="30" t="s">
        <v>1463</v>
      </c>
      <c r="C465" s="30" t="s">
        <v>165</v>
      </c>
      <c r="D465" s="30" t="s"/>
      <c r="E465" s="31" t="s">
        <v>1464</v>
      </c>
      <c r="F465" s="22" t="s"/>
      <c r="G465" s="22" t="s"/>
      <c r="H465" s="22" t="s"/>
      <c r="I465" s="22" t="s"/>
      <c r="J465" s="22" t="s"/>
      <c r="K465" s="22" t="s"/>
      <c r="L465" s="22" t="s"/>
      <c r="M465" s="22" t="s"/>
      <c r="N465" s="22" t="s"/>
      <c r="O465" s="22" t="s"/>
      <c r="P465" s="22" t="s"/>
      <c r="Q465" s="22" t="s"/>
      <c r="R465" s="22" t="s"/>
      <c r="S465" s="22" t="s"/>
      <c r="T465" s="22" t="s"/>
      <c r="U465" s="22" t="s"/>
      <c r="V465" s="22" t="s"/>
      <c r="W465" s="22" t="s"/>
      <c r="X465" s="22" t="s"/>
      <c r="Y465" s="22" t="s"/>
      <c r="Z465" s="22" t="s"/>
    </row>
    <row r="466" spans="1:26" ht="16.8" customHeight="true">
      <c r="A466" s="47" t="s">
        <v>1465</v>
      </c>
      <c r="B466" s="30" t="s">
        <v>1466</v>
      </c>
      <c r="C466" s="30" t="s">
        <v>165</v>
      </c>
      <c r="D466" s="30" t="s"/>
      <c r="E466" s="31" t="s">
        <v>1467</v>
      </c>
      <c r="F466" s="22" t="s"/>
      <c r="G466" s="22" t="s"/>
      <c r="H466" s="22" t="s"/>
      <c r="I466" s="22" t="s"/>
      <c r="J466" s="22" t="s"/>
      <c r="K466" s="22" t="s"/>
      <c r="L466" s="22" t="s"/>
      <c r="M466" s="22" t="s"/>
      <c r="N466" s="22" t="s"/>
      <c r="O466" s="22" t="s"/>
      <c r="P466" s="22" t="s"/>
      <c r="Q466" s="22" t="s"/>
      <c r="R466" s="22" t="s"/>
      <c r="S466" s="22" t="s"/>
      <c r="T466" s="22" t="s"/>
      <c r="U466" s="22" t="s"/>
      <c r="V466" s="22" t="s"/>
      <c r="W466" s="22" t="s"/>
      <c r="X466" s="22" t="s"/>
      <c r="Y466" s="22" t="s"/>
      <c r="Z466" s="22" t="s"/>
    </row>
    <row r="467" spans="1:26" ht="16.8" customHeight="true">
      <c r="A467" s="47" t="s">
        <v>1468</v>
      </c>
      <c r="B467" s="30" t="s">
        <v>1469</v>
      </c>
      <c r="C467" s="30" t="s">
        <v>236</v>
      </c>
      <c r="D467" s="30" t="s">
        <v>153</v>
      </c>
      <c r="E467" s="31" t="s">
        <v>1470</v>
      </c>
      <c r="F467" s="22" t="s"/>
      <c r="G467" s="22" t="s"/>
      <c r="H467" s="22" t="s"/>
      <c r="I467" s="22" t="s"/>
      <c r="J467" s="22" t="s"/>
      <c r="K467" s="22" t="s"/>
      <c r="L467" s="22" t="s"/>
      <c r="M467" s="22" t="s"/>
      <c r="N467" s="22" t="s"/>
      <c r="O467" s="22" t="s"/>
      <c r="P467" s="22" t="s"/>
      <c r="Q467" s="22" t="s"/>
      <c r="R467" s="22" t="s"/>
      <c r="S467" s="22" t="s"/>
      <c r="T467" s="22" t="s"/>
      <c r="U467" s="22" t="s"/>
      <c r="V467" s="22" t="s"/>
      <c r="W467" s="22" t="s"/>
      <c r="X467" s="22" t="s"/>
      <c r="Y467" s="22" t="s"/>
      <c r="Z467" s="22" t="s"/>
    </row>
    <row r="468" spans="1:26" ht="16.8" customHeight="true">
      <c r="A468" s="41" t="s">
        <v>1471</v>
      </c>
      <c r="B468" s="30" t="s">
        <v>1472</v>
      </c>
      <c r="C468" s="30" t="s">
        <v>165</v>
      </c>
      <c r="D468" s="30" t="s"/>
      <c r="E468" s="31" t="s">
        <v>1473</v>
      </c>
      <c r="F468" s="22" t="s"/>
      <c r="G468" s="22" t="s"/>
      <c r="H468" s="22" t="s"/>
      <c r="I468" s="22" t="s"/>
      <c r="J468" s="22" t="s"/>
      <c r="K468" s="22" t="s"/>
      <c r="L468" s="22" t="s"/>
      <c r="M468" s="22" t="s"/>
      <c r="N468" s="22" t="s"/>
      <c r="O468" s="22" t="s"/>
      <c r="P468" s="22" t="s"/>
      <c r="Q468" s="22" t="s"/>
      <c r="R468" s="22" t="s"/>
      <c r="S468" s="22" t="s"/>
      <c r="T468" s="22" t="s"/>
      <c r="U468" s="22" t="s"/>
      <c r="V468" s="22" t="s"/>
      <c r="W468" s="22" t="s"/>
      <c r="X468" s="22" t="s"/>
      <c r="Y468" s="22" t="s"/>
      <c r="Z468" s="22" t="s"/>
    </row>
    <row r="469" spans="1:26" ht="16.8" customHeight="true">
      <c r="A469" s="47" t="s">
        <v>1474</v>
      </c>
      <c r="B469" s="30" t="s">
        <v>1475</v>
      </c>
      <c r="C469" s="30" t="s">
        <v>169</v>
      </c>
      <c r="D469" s="30" t="s">
        <v>153</v>
      </c>
      <c r="E469" s="31" t="s">
        <v>1476</v>
      </c>
      <c r="F469" s="22" t="s"/>
      <c r="G469" s="22" t="s"/>
      <c r="H469" s="22" t="s"/>
      <c r="I469" s="22" t="s"/>
      <c r="J469" s="22" t="s"/>
      <c r="K469" s="22" t="s"/>
      <c r="L469" s="22" t="s"/>
      <c r="M469" s="22" t="s"/>
      <c r="N469" s="22" t="s"/>
      <c r="O469" s="22" t="s"/>
      <c r="P469" s="22" t="s"/>
      <c r="Q469" s="22" t="s"/>
      <c r="R469" s="22" t="s"/>
      <c r="S469" s="22" t="s"/>
      <c r="T469" s="22" t="s"/>
      <c r="U469" s="22" t="s"/>
      <c r="V469" s="22" t="s"/>
      <c r="W469" s="22" t="s"/>
      <c r="X469" s="22" t="s"/>
      <c r="Y469" s="22" t="s"/>
      <c r="Z469" s="22" t="s"/>
    </row>
    <row r="470" spans="1:26" ht="16.8" customHeight="true">
      <c r="A470" s="47" t="s">
        <v>1477</v>
      </c>
      <c r="B470" s="30" t="s">
        <v>1478</v>
      </c>
      <c r="C470" s="30" t="s">
        <v>152</v>
      </c>
      <c r="D470" s="30" t="s">
        <v>170</v>
      </c>
      <c r="E470" s="31" t="s">
        <v>1479</v>
      </c>
      <c r="F470" s="22" t="s"/>
      <c r="G470" s="22" t="s"/>
      <c r="H470" s="22" t="s"/>
      <c r="I470" s="22" t="s"/>
      <c r="J470" s="22" t="s"/>
      <c r="K470" s="22" t="s"/>
      <c r="L470" s="22" t="s"/>
      <c r="M470" s="22" t="s"/>
      <c r="N470" s="22" t="s"/>
      <c r="O470" s="22" t="s"/>
      <c r="P470" s="22" t="s"/>
      <c r="Q470" s="22" t="s"/>
      <c r="R470" s="22" t="s"/>
      <c r="S470" s="22" t="s"/>
      <c r="T470" s="22" t="s"/>
      <c r="U470" s="22" t="s"/>
      <c r="V470" s="22" t="s"/>
      <c r="W470" s="22" t="s"/>
      <c r="X470" s="22" t="s"/>
      <c r="Y470" s="22" t="s"/>
      <c r="Z470" s="22" t="s"/>
    </row>
    <row r="471" spans="1:26" ht="16.8" customHeight="true">
      <c r="A471" s="47" t="s">
        <v>1480</v>
      </c>
      <c r="B471" s="30" t="s">
        <v>1481</v>
      </c>
      <c r="C471" s="30" t="s">
        <v>152</v>
      </c>
      <c r="D471" s="30" t="s">
        <v>528</v>
      </c>
      <c r="E471" s="31" t="s">
        <v>217</v>
      </c>
      <c r="F471" s="22" t="s"/>
      <c r="G471" s="22" t="s"/>
      <c r="H471" s="22" t="s"/>
      <c r="I471" s="22" t="s"/>
      <c r="J471" s="22" t="s"/>
      <c r="K471" s="22" t="s"/>
      <c r="L471" s="22" t="s"/>
      <c r="M471" s="22" t="s"/>
      <c r="N471" s="22" t="s"/>
      <c r="O471" s="22" t="s"/>
      <c r="P471" s="22" t="s"/>
      <c r="Q471" s="22" t="s"/>
      <c r="R471" s="22" t="s"/>
      <c r="S471" s="22" t="s"/>
      <c r="T471" s="22" t="s"/>
      <c r="U471" s="22" t="s"/>
      <c r="V471" s="22" t="s"/>
      <c r="W471" s="22" t="s"/>
      <c r="X471" s="22" t="s"/>
      <c r="Y471" s="22" t="s"/>
      <c r="Z471" s="22" t="s"/>
    </row>
    <row r="472" spans="1:26" ht="16.8" customHeight="true">
      <c r="A472" s="47" t="s">
        <v>1482</v>
      </c>
      <c r="B472" s="30" t="s">
        <v>1483</v>
      </c>
      <c r="C472" s="30" t="s">
        <v>165</v>
      </c>
      <c r="D472" s="30" t="s"/>
      <c r="E472" s="31" t="s">
        <v>900</v>
      </c>
      <c r="F472" s="22" t="s"/>
      <c r="G472" s="22" t="s"/>
      <c r="H472" s="22" t="s"/>
      <c r="I472" s="22" t="s"/>
      <c r="J472" s="22" t="s"/>
      <c r="K472" s="22" t="s"/>
      <c r="L472" s="22" t="s"/>
      <c r="M472" s="22" t="s"/>
      <c r="N472" s="22" t="s"/>
      <c r="O472" s="22" t="s"/>
      <c r="P472" s="22" t="s"/>
      <c r="Q472" s="22" t="s"/>
      <c r="R472" s="22" t="s"/>
      <c r="S472" s="22" t="s"/>
      <c r="T472" s="22" t="s"/>
      <c r="U472" s="22" t="s"/>
      <c r="V472" s="22" t="s"/>
      <c r="W472" s="22" t="s"/>
      <c r="X472" s="22" t="s"/>
      <c r="Y472" s="22" t="s"/>
      <c r="Z472" s="22" t="s"/>
    </row>
    <row r="473" spans="1:26" ht="16.8" customHeight="true">
      <c r="A473" s="47" t="s">
        <v>1484</v>
      </c>
      <c r="B473" s="30" t="s">
        <v>1485</v>
      </c>
      <c r="C473" s="30" t="s">
        <v>152</v>
      </c>
      <c r="D473" s="30" t="s">
        <v>170</v>
      </c>
      <c r="E473" s="31" t="s">
        <v>1316</v>
      </c>
      <c r="F473" s="22" t="s"/>
      <c r="G473" s="22" t="s"/>
      <c r="H473" s="22" t="s"/>
      <c r="I473" s="22" t="s"/>
      <c r="J473" s="22" t="s"/>
      <c r="K473" s="22" t="s"/>
      <c r="L473" s="22" t="s"/>
      <c r="M473" s="22" t="s"/>
      <c r="N473" s="22" t="s"/>
      <c r="O473" s="22" t="s"/>
      <c r="P473" s="22" t="s"/>
      <c r="Q473" s="22" t="s"/>
      <c r="R473" s="22" t="s"/>
      <c r="S473" s="22" t="s"/>
      <c r="T473" s="22" t="s"/>
      <c r="U473" s="22" t="s"/>
      <c r="V473" s="22" t="s"/>
      <c r="W473" s="22" t="s"/>
      <c r="X473" s="22" t="s"/>
      <c r="Y473" s="22" t="s"/>
      <c r="Z473" s="22" t="s"/>
    </row>
    <row r="474" spans="1:26" ht="16.8" customHeight="true">
      <c r="A474" s="41" t="s">
        <v>1486</v>
      </c>
      <c r="B474" s="30" t="s">
        <v>1487</v>
      </c>
      <c r="C474" s="30" t="s">
        <v>165</v>
      </c>
      <c r="D474" s="30" t="s"/>
      <c r="E474" s="31" t="s">
        <v>1488</v>
      </c>
      <c r="F474" s="22" t="s"/>
      <c r="G474" s="22" t="s"/>
      <c r="H474" s="22" t="s"/>
      <c r="I474" s="22" t="s"/>
      <c r="J474" s="22" t="s"/>
      <c r="K474" s="22" t="s"/>
      <c r="L474" s="22" t="s"/>
      <c r="M474" s="22" t="s"/>
      <c r="N474" s="22" t="s"/>
      <c r="O474" s="22" t="s"/>
      <c r="P474" s="22" t="s"/>
      <c r="Q474" s="22" t="s"/>
      <c r="R474" s="22" t="s"/>
      <c r="S474" s="22" t="s"/>
      <c r="T474" s="22" t="s"/>
      <c r="U474" s="22" t="s"/>
      <c r="V474" s="22" t="s"/>
      <c r="W474" s="22" t="s"/>
      <c r="X474" s="22" t="s"/>
      <c r="Y474" s="22" t="s"/>
      <c r="Z474" s="22" t="s"/>
    </row>
    <row r="475" spans="1:26" ht="16.8" customHeight="true">
      <c r="A475" s="47" t="s">
        <v>1489</v>
      </c>
      <c r="B475" s="30" t="s">
        <v>555</v>
      </c>
      <c r="C475" s="30" t="s">
        <v>165</v>
      </c>
      <c r="D475" s="30" t="s"/>
      <c r="E475" s="31" t="s">
        <v>1490</v>
      </c>
      <c r="F475" s="22" t="s"/>
      <c r="G475" s="22" t="s"/>
      <c r="H475" s="22" t="s"/>
      <c r="I475" s="22" t="s"/>
      <c r="J475" s="22" t="s"/>
      <c r="K475" s="22" t="s"/>
      <c r="L475" s="22" t="s"/>
      <c r="M475" s="22" t="s"/>
      <c r="N475" s="22" t="s"/>
      <c r="O475" s="22" t="s"/>
      <c r="P475" s="22" t="s"/>
      <c r="Q475" s="22" t="s"/>
      <c r="R475" s="22" t="s"/>
      <c r="S475" s="22" t="s"/>
      <c r="T475" s="22" t="s"/>
      <c r="U475" s="22" t="s"/>
      <c r="V475" s="22" t="s"/>
      <c r="W475" s="22" t="s"/>
      <c r="X475" s="22" t="s"/>
      <c r="Y475" s="22" t="s"/>
      <c r="Z475" s="22" t="s"/>
    </row>
    <row r="476" spans="1:26" ht="16.8" customHeight="true">
      <c r="A476" s="47" t="s">
        <v>1491</v>
      </c>
      <c r="B476" s="30" t="s">
        <v>1492</v>
      </c>
      <c r="C476" s="30" t="s">
        <v>165</v>
      </c>
      <c r="D476" s="30" t="s"/>
      <c r="E476" s="31" t="s">
        <v>1493</v>
      </c>
      <c r="F476" s="22" t="s"/>
      <c r="G476" s="22" t="s"/>
      <c r="H476" s="22" t="s"/>
      <c r="I476" s="22" t="s"/>
      <c r="J476" s="22" t="s"/>
      <c r="K476" s="22" t="s"/>
      <c r="L476" s="22" t="s"/>
      <c r="M476" s="22" t="s"/>
      <c r="N476" s="22" t="s"/>
      <c r="O476" s="22" t="s"/>
      <c r="P476" s="22" t="s"/>
      <c r="Q476" s="22" t="s"/>
      <c r="R476" s="22" t="s"/>
      <c r="S476" s="22" t="s"/>
      <c r="T476" s="22" t="s"/>
      <c r="U476" s="22" t="s"/>
      <c r="V476" s="22" t="s"/>
      <c r="W476" s="22" t="s"/>
      <c r="X476" s="22" t="s"/>
      <c r="Y476" s="22" t="s"/>
      <c r="Z476" s="22" t="s"/>
    </row>
    <row r="477" spans="1:26" ht="16.8" customHeight="true">
      <c r="A477" s="47" t="s">
        <v>1494</v>
      </c>
      <c r="B477" s="30" t="s">
        <v>1495</v>
      </c>
      <c r="C477" s="30" t="s">
        <v>165</v>
      </c>
      <c r="D477" s="30" t="s"/>
      <c r="E477" s="31" t="s">
        <v>1496</v>
      </c>
      <c r="F477" s="22" t="s"/>
      <c r="G477" s="22" t="s"/>
      <c r="H477" s="22" t="s"/>
      <c r="I477" s="22" t="s"/>
      <c r="J477" s="22" t="s"/>
      <c r="K477" s="22" t="s"/>
      <c r="L477" s="22" t="s"/>
      <c r="M477" s="22" t="s"/>
      <c r="N477" s="22" t="s"/>
      <c r="O477" s="22" t="s"/>
      <c r="P477" s="22" t="s"/>
      <c r="Q477" s="22" t="s"/>
      <c r="R477" s="22" t="s"/>
      <c r="S477" s="22" t="s"/>
      <c r="T477" s="22" t="s"/>
      <c r="U477" s="22" t="s"/>
      <c r="V477" s="22" t="s"/>
      <c r="W477" s="22" t="s"/>
      <c r="X477" s="22" t="s"/>
      <c r="Y477" s="22" t="s"/>
      <c r="Z477" s="22" t="s"/>
    </row>
    <row r="478" spans="1:26" ht="16.8" customHeight="true">
      <c r="A478" s="47" t="s">
        <v>1497</v>
      </c>
      <c r="B478" s="30" t="s">
        <v>1498</v>
      </c>
      <c r="C478" s="30" t="s">
        <v>165</v>
      </c>
      <c r="D478" s="30" t="s"/>
      <c r="E478" s="31" t="s">
        <v>1499</v>
      </c>
      <c r="F478" s="22" t="s"/>
      <c r="G478" s="22" t="s"/>
      <c r="H478" s="22" t="s"/>
      <c r="I478" s="22" t="s"/>
      <c r="J478" s="22" t="s"/>
      <c r="K478" s="22" t="s"/>
      <c r="L478" s="22" t="s"/>
      <c r="M478" s="22" t="s"/>
      <c r="N478" s="22" t="s"/>
      <c r="O478" s="22" t="s"/>
      <c r="P478" s="22" t="s"/>
      <c r="Q478" s="22" t="s"/>
      <c r="R478" s="22" t="s"/>
      <c r="S478" s="22" t="s"/>
      <c r="T478" s="22" t="s"/>
      <c r="U478" s="22" t="s"/>
      <c r="V478" s="22" t="s"/>
      <c r="W478" s="22" t="s"/>
      <c r="X478" s="22" t="s"/>
      <c r="Y478" s="22" t="s"/>
      <c r="Z478" s="22" t="s"/>
    </row>
    <row r="479" spans="1:26" ht="16.8" customHeight="true">
      <c r="A479" s="47" t="s">
        <v>1500</v>
      </c>
      <c r="B479" s="30" t="s">
        <v>1501</v>
      </c>
      <c r="C479" s="30" t="s">
        <v>165</v>
      </c>
      <c r="D479" s="30" t="s"/>
      <c r="E479" s="31" t="s">
        <v>1502</v>
      </c>
      <c r="F479" s="22" t="s"/>
      <c r="G479" s="22" t="s"/>
      <c r="H479" s="22" t="s"/>
      <c r="I479" s="22" t="s"/>
      <c r="J479" s="22" t="s"/>
      <c r="K479" s="22" t="s"/>
      <c r="L479" s="22" t="s"/>
      <c r="M479" s="22" t="s"/>
      <c r="N479" s="22" t="s"/>
      <c r="O479" s="22" t="s"/>
      <c r="P479" s="22" t="s"/>
      <c r="Q479" s="22" t="s"/>
      <c r="R479" s="22" t="s"/>
      <c r="S479" s="22" t="s"/>
      <c r="T479" s="22" t="s"/>
      <c r="U479" s="22" t="s"/>
      <c r="V479" s="22" t="s"/>
      <c r="W479" s="22" t="s"/>
      <c r="X479" s="22" t="s"/>
      <c r="Y479" s="22" t="s"/>
      <c r="Z479" s="22" t="s"/>
    </row>
    <row r="480" spans="1:26" ht="16.8" customHeight="true">
      <c r="A480" s="41" t="s">
        <v>1503</v>
      </c>
      <c r="B480" s="30" t="s">
        <v>1504</v>
      </c>
      <c r="C480" s="30" t="s">
        <v>165</v>
      </c>
      <c r="D480" s="30" t="s"/>
      <c r="E480" s="31" t="s">
        <v>1505</v>
      </c>
      <c r="F480" s="22" t="s"/>
      <c r="G480" s="22" t="s"/>
      <c r="H480" s="22" t="s"/>
      <c r="I480" s="22" t="s"/>
      <c r="J480" s="22" t="s"/>
      <c r="K480" s="22" t="s"/>
      <c r="L480" s="22" t="s"/>
      <c r="M480" s="22" t="s"/>
      <c r="N480" s="22" t="s"/>
      <c r="O480" s="22" t="s"/>
      <c r="P480" s="22" t="s"/>
      <c r="Q480" s="22" t="s"/>
      <c r="R480" s="22" t="s"/>
      <c r="S480" s="22" t="s"/>
      <c r="T480" s="22" t="s"/>
      <c r="U480" s="22" t="s"/>
      <c r="V480" s="22" t="s"/>
      <c r="W480" s="22" t="s"/>
      <c r="X480" s="22" t="s"/>
      <c r="Y480" s="22" t="s"/>
      <c r="Z480" s="22" t="s"/>
    </row>
    <row r="481" spans="1:26" ht="16.8" customHeight="true">
      <c r="A481" s="47" t="s">
        <v>1506</v>
      </c>
      <c r="B481" s="30" t="s">
        <v>1507</v>
      </c>
      <c r="C481" s="30" t="s">
        <v>165</v>
      </c>
      <c r="D481" s="30" t="s"/>
      <c r="E481" s="31" t="s">
        <v>1508</v>
      </c>
      <c r="F481" s="22" t="s"/>
      <c r="G481" s="22" t="s"/>
      <c r="H481" s="22" t="s"/>
      <c r="I481" s="22" t="s"/>
      <c r="J481" s="22" t="s"/>
      <c r="K481" s="22" t="s"/>
      <c r="L481" s="22" t="s"/>
      <c r="M481" s="22" t="s"/>
      <c r="N481" s="22" t="s"/>
      <c r="O481" s="22" t="s"/>
      <c r="P481" s="22" t="s"/>
      <c r="Q481" s="22" t="s"/>
      <c r="R481" s="22" t="s"/>
      <c r="S481" s="22" t="s"/>
      <c r="T481" s="22" t="s"/>
      <c r="U481" s="22" t="s"/>
      <c r="V481" s="22" t="s"/>
      <c r="W481" s="22" t="s"/>
      <c r="X481" s="22" t="s"/>
      <c r="Y481" s="22" t="s"/>
      <c r="Z481" s="22" t="s"/>
    </row>
    <row r="482" spans="1:26" ht="16.8" customHeight="true">
      <c r="A482" s="47" t="s">
        <v>1509</v>
      </c>
      <c r="B482" s="30" t="s">
        <v>1510</v>
      </c>
      <c r="C482" s="30" t="s">
        <v>351</v>
      </c>
      <c r="D482" s="30" t="s">
        <v>1511</v>
      </c>
      <c r="E482" s="31" t="s">
        <v>1512</v>
      </c>
      <c r="F482" s="22" t="s"/>
      <c r="G482" s="22" t="s"/>
      <c r="H482" s="22" t="s"/>
      <c r="I482" s="22" t="s"/>
      <c r="J482" s="22" t="s"/>
      <c r="K482" s="22" t="s"/>
      <c r="L482" s="22" t="s"/>
      <c r="M482" s="22" t="s"/>
      <c r="N482" s="22" t="s"/>
      <c r="O482" s="22" t="s"/>
      <c r="P482" s="22" t="s"/>
      <c r="Q482" s="22" t="s"/>
      <c r="R482" s="22" t="s"/>
      <c r="S482" s="22" t="s"/>
      <c r="T482" s="22" t="s"/>
      <c r="U482" s="22" t="s"/>
      <c r="V482" s="22" t="s"/>
      <c r="W482" s="22" t="s"/>
      <c r="X482" s="22" t="s"/>
      <c r="Y482" s="22" t="s"/>
      <c r="Z482" s="22" t="s"/>
    </row>
    <row r="483" spans="1:26" ht="16.8" customHeight="true">
      <c r="A483" s="47" t="s">
        <v>1513</v>
      </c>
      <c r="B483" s="30" t="s">
        <v>1514</v>
      </c>
      <c r="C483" s="30" t="s">
        <v>165</v>
      </c>
      <c r="D483" s="30" t="s">
        <v>153</v>
      </c>
      <c r="E483" s="31" t="s">
        <v>1515</v>
      </c>
      <c r="F483" s="22" t="s"/>
      <c r="G483" s="22" t="s"/>
      <c r="H483" s="22" t="s"/>
      <c r="I483" s="22" t="s"/>
      <c r="J483" s="22" t="s"/>
      <c r="K483" s="22" t="s"/>
      <c r="L483" s="22" t="s"/>
      <c r="M483" s="22" t="s"/>
      <c r="N483" s="22" t="s"/>
      <c r="O483" s="22" t="s"/>
      <c r="P483" s="22" t="s"/>
      <c r="Q483" s="22" t="s"/>
      <c r="R483" s="22" t="s"/>
      <c r="S483" s="22" t="s"/>
      <c r="T483" s="22" t="s"/>
      <c r="U483" s="22" t="s"/>
      <c r="V483" s="22" t="s"/>
      <c r="W483" s="22" t="s"/>
      <c r="X483" s="22" t="s"/>
      <c r="Y483" s="22" t="s"/>
      <c r="Z483" s="22" t="s"/>
    </row>
    <row r="484" spans="1:26" ht="16.8" customHeight="true">
      <c r="A484" s="47" t="s">
        <v>1516</v>
      </c>
      <c r="B484" s="30" t="s">
        <v>1517</v>
      </c>
      <c r="C484" s="30" t="s">
        <v>1099</v>
      </c>
      <c r="D484" s="30" t="s">
        <v>153</v>
      </c>
      <c r="E484" s="31" t="s">
        <v>1518</v>
      </c>
      <c r="F484" s="22" t="s"/>
      <c r="G484" s="22" t="s"/>
      <c r="H484" s="22" t="s"/>
      <c r="I484" s="22" t="s"/>
      <c r="J484" s="22" t="s"/>
      <c r="K484" s="22" t="s"/>
      <c r="L484" s="22" t="s"/>
      <c r="M484" s="22" t="s"/>
      <c r="N484" s="22" t="s"/>
      <c r="O484" s="22" t="s"/>
      <c r="P484" s="22" t="s"/>
      <c r="Q484" s="22" t="s"/>
      <c r="R484" s="22" t="s"/>
      <c r="S484" s="22" t="s"/>
      <c r="T484" s="22" t="s"/>
      <c r="U484" s="22" t="s"/>
      <c r="V484" s="22" t="s"/>
      <c r="W484" s="22" t="s"/>
      <c r="X484" s="22" t="s"/>
      <c r="Y484" s="22" t="s"/>
      <c r="Z484" s="22" t="s"/>
    </row>
    <row r="485" spans="1:26" ht="16.8" customHeight="true">
      <c r="A485" s="47" t="s">
        <v>1519</v>
      </c>
      <c r="B485" s="30" t="s">
        <v>1520</v>
      </c>
      <c r="C485" s="30" t="s">
        <v>1521</v>
      </c>
      <c r="D485" s="30" t="s">
        <v>153</v>
      </c>
      <c r="E485" s="31" t="s">
        <v>1522</v>
      </c>
      <c r="F485" s="22" t="s"/>
      <c r="G485" s="22" t="s"/>
      <c r="H485" s="22" t="s"/>
      <c r="I485" s="22" t="s"/>
      <c r="J485" s="22" t="s"/>
      <c r="K485" s="22" t="s"/>
      <c r="L485" s="22" t="s"/>
      <c r="M485" s="22" t="s"/>
      <c r="N485" s="22" t="s"/>
      <c r="O485" s="22" t="s"/>
      <c r="P485" s="22" t="s"/>
      <c r="Q485" s="22" t="s"/>
      <c r="R485" s="22" t="s"/>
      <c r="S485" s="22" t="s"/>
      <c r="T485" s="22" t="s"/>
      <c r="U485" s="22" t="s"/>
      <c r="V485" s="22" t="s"/>
      <c r="W485" s="22" t="s"/>
      <c r="X485" s="22" t="s"/>
      <c r="Y485" s="22" t="s"/>
      <c r="Z485" s="22" t="s"/>
    </row>
    <row r="486" spans="1:26" ht="16.8" customHeight="true">
      <c r="A486" s="41" t="s">
        <v>1523</v>
      </c>
      <c r="B486" s="30" t="s">
        <v>1524</v>
      </c>
      <c r="C486" s="30" t="s">
        <v>165</v>
      </c>
      <c r="D486" s="30" t="s"/>
      <c r="E486" s="31" t="s">
        <v>1525</v>
      </c>
      <c r="F486" s="22" t="s"/>
      <c r="G486" s="22" t="s"/>
      <c r="H486" s="22" t="s"/>
      <c r="I486" s="22" t="s"/>
      <c r="J486" s="22" t="s"/>
      <c r="K486" s="22" t="s"/>
      <c r="L486" s="22" t="s"/>
      <c r="M486" s="22" t="s"/>
      <c r="N486" s="22" t="s"/>
      <c r="O486" s="22" t="s"/>
      <c r="P486" s="22" t="s"/>
      <c r="Q486" s="22" t="s"/>
      <c r="R486" s="22" t="s"/>
      <c r="S486" s="22" t="s"/>
      <c r="T486" s="22" t="s"/>
      <c r="U486" s="22" t="s"/>
      <c r="V486" s="22" t="s"/>
      <c r="W486" s="22" t="s"/>
      <c r="X486" s="22" t="s"/>
      <c r="Y486" s="22" t="s"/>
      <c r="Z486" s="22" t="s"/>
    </row>
    <row r="487" spans="1:26" ht="16.8" customHeight="true">
      <c r="A487" s="47" t="s">
        <v>1526</v>
      </c>
      <c r="B487" s="30" t="s">
        <v>1527</v>
      </c>
      <c r="C487" s="30" t="s">
        <v>165</v>
      </c>
      <c r="D487" s="30" t="s"/>
      <c r="E487" s="31" t="s">
        <v>810</v>
      </c>
      <c r="F487" s="22" t="s"/>
      <c r="G487" s="22" t="s"/>
      <c r="H487" s="22" t="s"/>
      <c r="I487" s="22" t="s"/>
      <c r="J487" s="22" t="s"/>
      <c r="K487" s="22" t="s"/>
      <c r="L487" s="22" t="s"/>
      <c r="M487" s="22" t="s"/>
      <c r="N487" s="22" t="s"/>
      <c r="O487" s="22" t="s"/>
      <c r="P487" s="22" t="s"/>
      <c r="Q487" s="22" t="s"/>
      <c r="R487" s="22" t="s"/>
      <c r="S487" s="22" t="s"/>
      <c r="T487" s="22" t="s"/>
      <c r="U487" s="22" t="s"/>
      <c r="V487" s="22" t="s"/>
      <c r="W487" s="22" t="s"/>
      <c r="X487" s="22" t="s"/>
      <c r="Y487" s="22" t="s"/>
      <c r="Z487" s="22" t="s"/>
    </row>
    <row r="488" spans="1:26" ht="16.8" customHeight="true">
      <c r="A488" s="47" t="s">
        <v>1528</v>
      </c>
      <c r="B488" s="30" t="s">
        <v>1529</v>
      </c>
      <c r="C488" s="30" t="s">
        <v>165</v>
      </c>
      <c r="D488" s="30" t="s"/>
      <c r="E488" s="31" t="s">
        <v>1530</v>
      </c>
      <c r="F488" s="22" t="s"/>
      <c r="G488" s="22" t="s"/>
      <c r="H488" s="22" t="s"/>
      <c r="I488" s="22" t="s"/>
      <c r="J488" s="22" t="s"/>
      <c r="K488" s="22" t="s"/>
      <c r="L488" s="22" t="s"/>
      <c r="M488" s="22" t="s"/>
      <c r="N488" s="22" t="s"/>
      <c r="O488" s="22" t="s"/>
      <c r="P488" s="22" t="s"/>
      <c r="Q488" s="22" t="s"/>
      <c r="R488" s="22" t="s"/>
      <c r="S488" s="22" t="s"/>
      <c r="T488" s="22" t="s"/>
      <c r="U488" s="22" t="s"/>
      <c r="V488" s="22" t="s"/>
      <c r="W488" s="22" t="s"/>
      <c r="X488" s="22" t="s"/>
      <c r="Y488" s="22" t="s"/>
      <c r="Z488" s="22" t="s"/>
    </row>
    <row r="489" spans="1:26" ht="16.8" customHeight="true">
      <c r="A489" s="47" t="s">
        <v>1531</v>
      </c>
      <c r="B489" s="30" t="s">
        <v>1532</v>
      </c>
      <c r="C489" s="30" t="s">
        <v>165</v>
      </c>
      <c r="D489" s="30" t="s"/>
      <c r="E489" s="31" t="s">
        <v>1533</v>
      </c>
      <c r="F489" s="22" t="s"/>
      <c r="G489" s="22" t="s"/>
      <c r="H489" s="22" t="s"/>
      <c r="I489" s="22" t="s"/>
      <c r="J489" s="22" t="s"/>
      <c r="K489" s="22" t="s"/>
      <c r="L489" s="22" t="s"/>
      <c r="M489" s="22" t="s"/>
      <c r="N489" s="22" t="s"/>
      <c r="O489" s="22" t="s"/>
      <c r="P489" s="22" t="s"/>
      <c r="Q489" s="22" t="s"/>
      <c r="R489" s="22" t="s"/>
      <c r="S489" s="22" t="s"/>
      <c r="T489" s="22" t="s"/>
      <c r="U489" s="22" t="s"/>
      <c r="V489" s="22" t="s"/>
      <c r="W489" s="22" t="s"/>
      <c r="X489" s="22" t="s"/>
      <c r="Y489" s="22" t="s"/>
      <c r="Z489" s="22" t="s"/>
    </row>
    <row r="490" spans="1:26" ht="16.8" customHeight="true">
      <c r="A490" s="47" t="s">
        <v>1534</v>
      </c>
      <c r="B490" s="30" t="s">
        <v>1535</v>
      </c>
      <c r="C490" s="30" t="s">
        <v>165</v>
      </c>
      <c r="D490" s="30" t="s"/>
      <c r="E490" s="31" t="s">
        <v>1536</v>
      </c>
      <c r="F490" s="22" t="s"/>
      <c r="G490" s="22" t="s"/>
      <c r="H490" s="22" t="s"/>
      <c r="I490" s="22" t="s"/>
      <c r="J490" s="22" t="s"/>
      <c r="K490" s="22" t="s"/>
      <c r="L490" s="22" t="s"/>
      <c r="M490" s="22" t="s"/>
      <c r="N490" s="22" t="s"/>
      <c r="O490" s="22" t="s"/>
      <c r="P490" s="22" t="s"/>
      <c r="Q490" s="22" t="s"/>
      <c r="R490" s="22" t="s"/>
      <c r="S490" s="22" t="s"/>
      <c r="T490" s="22" t="s"/>
      <c r="U490" s="22" t="s"/>
      <c r="V490" s="22" t="s"/>
      <c r="W490" s="22" t="s"/>
      <c r="X490" s="22" t="s"/>
      <c r="Y490" s="22" t="s"/>
      <c r="Z490" s="22" t="s"/>
    </row>
    <row r="491" spans="1:26" ht="16.8" customHeight="true">
      <c r="A491" s="47" t="s">
        <v>1537</v>
      </c>
      <c r="B491" s="30" t="s">
        <v>1538</v>
      </c>
      <c r="C491" s="30" t="s">
        <v>165</v>
      </c>
      <c r="D491" s="30" t="s"/>
      <c r="E491" s="31" t="s">
        <v>689</v>
      </c>
      <c r="F491" s="22" t="s"/>
      <c r="G491" s="22" t="s"/>
      <c r="H491" s="22" t="s"/>
      <c r="I491" s="22" t="s"/>
      <c r="J491" s="22" t="s"/>
      <c r="K491" s="22" t="s"/>
      <c r="L491" s="22" t="s"/>
      <c r="M491" s="22" t="s"/>
      <c r="N491" s="22" t="s"/>
      <c r="O491" s="22" t="s"/>
      <c r="P491" s="22" t="s"/>
      <c r="Q491" s="22" t="s"/>
      <c r="R491" s="22" t="s"/>
      <c r="S491" s="22" t="s"/>
      <c r="T491" s="22" t="s"/>
      <c r="U491" s="22" t="s"/>
      <c r="V491" s="22" t="s"/>
      <c r="W491" s="22" t="s"/>
      <c r="X491" s="22" t="s"/>
      <c r="Y491" s="22" t="s"/>
      <c r="Z491" s="22" t="s"/>
    </row>
    <row r="492" spans="1:26" ht="16.8" customHeight="true">
      <c r="A492" s="41" t="s">
        <v>1539</v>
      </c>
      <c r="B492" s="30" t="s">
        <v>1540</v>
      </c>
      <c r="C492" s="30" t="s">
        <v>165</v>
      </c>
      <c r="D492" s="30" t="s"/>
      <c r="E492" s="31" t="s">
        <v>1541</v>
      </c>
      <c r="F492" s="22" t="s"/>
      <c r="G492" s="22" t="s"/>
      <c r="H492" s="22" t="s"/>
      <c r="I492" s="22" t="s"/>
      <c r="J492" s="22" t="s"/>
      <c r="K492" s="22" t="s"/>
      <c r="L492" s="22" t="s"/>
      <c r="M492" s="22" t="s"/>
      <c r="N492" s="22" t="s"/>
      <c r="O492" s="22" t="s"/>
      <c r="P492" s="22" t="s"/>
      <c r="Q492" s="22" t="s"/>
      <c r="R492" s="22" t="s"/>
      <c r="S492" s="22" t="s"/>
      <c r="T492" s="22" t="s"/>
      <c r="U492" s="22" t="s"/>
      <c r="V492" s="22" t="s"/>
      <c r="W492" s="22" t="s"/>
      <c r="X492" s="22" t="s"/>
      <c r="Y492" s="22" t="s"/>
      <c r="Z492" s="22" t="s"/>
    </row>
    <row r="493" spans="1:26" ht="16.8" customHeight="true">
      <c r="A493" s="47" t="s">
        <v>1542</v>
      </c>
      <c r="B493" s="30" t="s">
        <v>1543</v>
      </c>
      <c r="C493" s="30" t="s">
        <v>165</v>
      </c>
      <c r="D493" s="30" t="s">
        <v>170</v>
      </c>
      <c r="E493" s="31" t="s">
        <v>1544</v>
      </c>
      <c r="F493" s="22" t="s"/>
      <c r="G493" s="22" t="s"/>
      <c r="H493" s="22" t="s"/>
      <c r="I493" s="22" t="s"/>
      <c r="J493" s="22" t="s"/>
      <c r="K493" s="22" t="s"/>
      <c r="L493" s="22" t="s"/>
      <c r="M493" s="22" t="s"/>
      <c r="N493" s="22" t="s"/>
      <c r="O493" s="22" t="s"/>
      <c r="P493" s="22" t="s"/>
      <c r="Q493" s="22" t="s"/>
      <c r="R493" s="22" t="s"/>
      <c r="S493" s="22" t="s"/>
      <c r="T493" s="22" t="s"/>
      <c r="U493" s="22" t="s"/>
      <c r="V493" s="22" t="s"/>
      <c r="W493" s="22" t="s"/>
      <c r="X493" s="22" t="s"/>
      <c r="Y493" s="22" t="s"/>
      <c r="Z493" s="22" t="s"/>
    </row>
    <row r="494" spans="1:26" ht="16.8" customHeight="true">
      <c r="A494" s="47" t="s">
        <v>768</v>
      </c>
      <c r="B494" s="30" t="s">
        <v>769</v>
      </c>
      <c r="C494" s="30" t="s">
        <v>263</v>
      </c>
      <c r="D494" s="30" t="s"/>
      <c r="E494" s="31" t="s">
        <v>1545</v>
      </c>
      <c r="F494" s="22" t="s"/>
      <c r="G494" s="22" t="s"/>
      <c r="H494" s="22" t="s"/>
      <c r="I494" s="22" t="s"/>
      <c r="J494" s="22" t="s"/>
      <c r="K494" s="22" t="s"/>
      <c r="L494" s="22" t="s"/>
      <c r="M494" s="22" t="s"/>
      <c r="N494" s="22" t="s"/>
      <c r="O494" s="22" t="s"/>
      <c r="P494" s="22" t="s"/>
      <c r="Q494" s="22" t="s"/>
      <c r="R494" s="22" t="s"/>
      <c r="S494" s="22" t="s"/>
      <c r="T494" s="22" t="s"/>
      <c r="U494" s="22" t="s"/>
      <c r="V494" s="22" t="s"/>
      <c r="W494" s="22" t="s"/>
      <c r="X494" s="22" t="s"/>
      <c r="Y494" s="22" t="s"/>
      <c r="Z494" s="22" t="s"/>
    </row>
    <row r="495" spans="1:26" ht="16.8" customHeight="true">
      <c r="A495" s="47" t="s">
        <v>1546</v>
      </c>
      <c r="B495" s="30" t="s">
        <v>1547</v>
      </c>
      <c r="C495" s="30" t="s">
        <v>1548</v>
      </c>
      <c r="D495" s="30" t="s">
        <v>485</v>
      </c>
      <c r="E495" s="31" t="s">
        <v>1549</v>
      </c>
      <c r="F495" s="22" t="s"/>
      <c r="G495" s="22" t="s"/>
      <c r="H495" s="22" t="s"/>
      <c r="I495" s="22" t="s"/>
      <c r="J495" s="22" t="s"/>
      <c r="K495" s="22" t="s"/>
      <c r="L495" s="22" t="s"/>
      <c r="M495" s="22" t="s"/>
      <c r="N495" s="22" t="s"/>
      <c r="O495" s="22" t="s"/>
      <c r="P495" s="22" t="s"/>
      <c r="Q495" s="22" t="s"/>
      <c r="R495" s="22" t="s"/>
      <c r="S495" s="22" t="s"/>
      <c r="T495" s="22" t="s"/>
      <c r="U495" s="22" t="s"/>
      <c r="V495" s="22" t="s"/>
      <c r="W495" s="22" t="s"/>
      <c r="X495" s="22" t="s"/>
      <c r="Y495" s="22" t="s"/>
      <c r="Z495" s="22" t="s"/>
    </row>
    <row r="496" spans="1:26" ht="16.8" customHeight="true">
      <c r="A496" s="47" t="s">
        <v>1550</v>
      </c>
      <c r="B496" s="30" t="s">
        <v>1551</v>
      </c>
      <c r="C496" s="30" t="s">
        <v>165</v>
      </c>
      <c r="D496" s="30" t="s"/>
      <c r="E496" s="31" t="s">
        <v>1552</v>
      </c>
      <c r="F496" s="22" t="s"/>
      <c r="G496" s="22" t="s"/>
      <c r="H496" s="22" t="s"/>
      <c r="I496" s="22" t="s"/>
      <c r="J496" s="22" t="s"/>
      <c r="K496" s="22" t="s"/>
      <c r="L496" s="22" t="s"/>
      <c r="M496" s="22" t="s"/>
      <c r="N496" s="22" t="s"/>
      <c r="O496" s="22" t="s"/>
      <c r="P496" s="22" t="s"/>
      <c r="Q496" s="22" t="s"/>
      <c r="R496" s="22" t="s"/>
      <c r="S496" s="22" t="s"/>
      <c r="T496" s="22" t="s"/>
      <c r="U496" s="22" t="s"/>
      <c r="V496" s="22" t="s"/>
      <c r="W496" s="22" t="s"/>
      <c r="X496" s="22" t="s"/>
      <c r="Y496" s="22" t="s"/>
      <c r="Z496" s="22" t="s"/>
    </row>
    <row r="497" spans="1:26" ht="16.8" customHeight="true">
      <c r="A497" s="47" t="s">
        <v>1553</v>
      </c>
      <c r="B497" s="30" t="s">
        <v>1554</v>
      </c>
      <c r="C497" s="30" t="s">
        <v>382</v>
      </c>
      <c r="D497" s="30" t="s">
        <v>157</v>
      </c>
      <c r="E497" s="31" t="s">
        <v>1555</v>
      </c>
      <c r="F497" s="22" t="s"/>
      <c r="G497" s="22" t="s"/>
      <c r="H497" s="22" t="s"/>
      <c r="I497" s="22" t="s"/>
      <c r="J497" s="22" t="s"/>
      <c r="K497" s="22" t="s"/>
      <c r="L497" s="22" t="s"/>
      <c r="M497" s="22" t="s"/>
      <c r="N497" s="22" t="s"/>
      <c r="O497" s="22" t="s"/>
      <c r="P497" s="22" t="s"/>
      <c r="Q497" s="22" t="s"/>
      <c r="R497" s="22" t="s"/>
      <c r="S497" s="22" t="s"/>
      <c r="T497" s="22" t="s"/>
      <c r="U497" s="22" t="s"/>
      <c r="V497" s="22" t="s"/>
      <c r="W497" s="22" t="s"/>
      <c r="X497" s="22" t="s"/>
      <c r="Y497" s="22" t="s"/>
      <c r="Z497" s="22" t="s"/>
    </row>
    <row r="498" spans="1:26" ht="16.8" customHeight="true">
      <c r="A498" s="41" t="s">
        <v>1114</v>
      </c>
      <c r="B498" s="30" t="s">
        <v>1115</v>
      </c>
      <c r="C498" s="30" t="s">
        <v>165</v>
      </c>
      <c r="D498" s="30" t="s"/>
      <c r="E498" s="31" t="s">
        <v>1116</v>
      </c>
      <c r="F498" s="22" t="s"/>
      <c r="G498" s="22" t="s"/>
      <c r="H498" s="22" t="s"/>
      <c r="I498" s="22" t="s"/>
      <c r="J498" s="22" t="s"/>
      <c r="K498" s="22" t="s"/>
      <c r="L498" s="22" t="s"/>
      <c r="M498" s="22" t="s"/>
      <c r="N498" s="22" t="s"/>
      <c r="O498" s="22" t="s"/>
      <c r="P498" s="22" t="s"/>
      <c r="Q498" s="22" t="s"/>
      <c r="R498" s="22" t="s"/>
      <c r="S498" s="22" t="s"/>
      <c r="T498" s="22" t="s"/>
      <c r="U498" s="22" t="s"/>
      <c r="V498" s="22" t="s"/>
      <c r="W498" s="22" t="s"/>
      <c r="X498" s="22" t="s"/>
      <c r="Y498" s="22" t="s"/>
      <c r="Z498" s="22" t="s"/>
    </row>
    <row r="499" spans="1:26" ht="16.8" customHeight="true">
      <c r="A499" s="47" t="s">
        <v>1556</v>
      </c>
      <c r="B499" s="30" t="s">
        <v>1557</v>
      </c>
      <c r="C499" s="30" t="s">
        <v>165</v>
      </c>
      <c r="D499" s="30" t="s"/>
      <c r="E499" s="31" t="s">
        <v>1355</v>
      </c>
      <c r="F499" s="22" t="s"/>
      <c r="G499" s="22" t="s"/>
      <c r="H499" s="22" t="s"/>
      <c r="I499" s="22" t="s"/>
      <c r="J499" s="22" t="s"/>
      <c r="K499" s="22" t="s"/>
      <c r="L499" s="22" t="s"/>
      <c r="M499" s="22" t="s"/>
      <c r="N499" s="22" t="s"/>
      <c r="O499" s="22" t="s"/>
      <c r="P499" s="22" t="s"/>
      <c r="Q499" s="22" t="s"/>
      <c r="R499" s="22" t="s"/>
      <c r="S499" s="22" t="s"/>
      <c r="T499" s="22" t="s"/>
      <c r="U499" s="22" t="s"/>
      <c r="V499" s="22" t="s"/>
      <c r="W499" s="22" t="s"/>
      <c r="X499" s="22" t="s"/>
      <c r="Y499" s="22" t="s"/>
      <c r="Z499" s="22" t="s"/>
    </row>
    <row r="500" spans="1:26" ht="16.8" customHeight="true">
      <c r="A500" s="47" t="s">
        <v>1558</v>
      </c>
      <c r="B500" s="30" t="s">
        <v>1559</v>
      </c>
      <c r="C500" s="30" t="s">
        <v>165</v>
      </c>
      <c r="D500" s="30" t="s"/>
      <c r="E500" s="31" t="s">
        <v>282</v>
      </c>
      <c r="F500" s="22" t="s"/>
      <c r="G500" s="22" t="s"/>
      <c r="H500" s="22" t="s"/>
      <c r="I500" s="22" t="s"/>
      <c r="J500" s="22" t="s"/>
      <c r="K500" s="22" t="s"/>
      <c r="L500" s="22" t="s"/>
      <c r="M500" s="22" t="s"/>
      <c r="N500" s="22" t="s"/>
      <c r="O500" s="22" t="s"/>
      <c r="P500" s="22" t="s"/>
      <c r="Q500" s="22" t="s"/>
      <c r="R500" s="22" t="s"/>
      <c r="S500" s="22" t="s"/>
      <c r="T500" s="22" t="s"/>
      <c r="U500" s="22" t="s"/>
      <c r="V500" s="22" t="s"/>
      <c r="W500" s="22" t="s"/>
      <c r="X500" s="22" t="s"/>
      <c r="Y500" s="22" t="s"/>
      <c r="Z500" s="22" t="s"/>
    </row>
    <row r="501" spans="1:26" ht="16.8" customHeight="true">
      <c r="A501" s="47" t="s">
        <v>1117</v>
      </c>
      <c r="B501" s="30" t="s">
        <v>1118</v>
      </c>
      <c r="C501" s="30" t="s">
        <v>165</v>
      </c>
      <c r="D501" s="30" t="s"/>
      <c r="E501" s="31" t="s">
        <v>1119</v>
      </c>
      <c r="F501" s="22" t="s"/>
      <c r="G501" s="22" t="s"/>
      <c r="H501" s="22" t="s"/>
      <c r="I501" s="22" t="s"/>
      <c r="J501" s="22" t="s"/>
      <c r="K501" s="22" t="s"/>
      <c r="L501" s="22" t="s"/>
      <c r="M501" s="22" t="s"/>
      <c r="N501" s="22" t="s"/>
      <c r="O501" s="22" t="s"/>
      <c r="P501" s="22" t="s"/>
      <c r="Q501" s="22" t="s"/>
      <c r="R501" s="22" t="s"/>
      <c r="S501" s="22" t="s"/>
      <c r="T501" s="22" t="s"/>
      <c r="U501" s="22" t="s"/>
      <c r="V501" s="22" t="s"/>
      <c r="W501" s="22" t="s"/>
      <c r="X501" s="22" t="s"/>
      <c r="Y501" s="22" t="s"/>
      <c r="Z501" s="22" t="s"/>
    </row>
    <row r="502" spans="1:26" ht="16.8" customHeight="true">
      <c r="A502" s="47" t="s">
        <v>665</v>
      </c>
      <c r="B502" s="30" t="s">
        <v>666</v>
      </c>
      <c r="C502" s="30" t="s">
        <v>165</v>
      </c>
      <c r="D502" s="30" t="s"/>
      <c r="E502" s="31" t="s">
        <v>1120</v>
      </c>
      <c r="F502" s="22" t="s"/>
      <c r="G502" s="22" t="s"/>
      <c r="H502" s="22" t="s"/>
      <c r="I502" s="22" t="s"/>
      <c r="J502" s="22" t="s"/>
      <c r="K502" s="22" t="s"/>
      <c r="L502" s="22" t="s"/>
      <c r="M502" s="22" t="s"/>
      <c r="N502" s="22" t="s"/>
      <c r="O502" s="22" t="s"/>
      <c r="P502" s="22" t="s"/>
      <c r="Q502" s="22" t="s"/>
      <c r="R502" s="22" t="s"/>
      <c r="S502" s="22" t="s"/>
      <c r="T502" s="22" t="s"/>
      <c r="U502" s="22" t="s"/>
      <c r="V502" s="22" t="s"/>
      <c r="W502" s="22" t="s"/>
      <c r="X502" s="22" t="s"/>
      <c r="Y502" s="22" t="s"/>
      <c r="Z502" s="22" t="s"/>
    </row>
    <row r="503" spans="1:26" ht="16.8" customHeight="true">
      <c r="A503" s="47" t="s">
        <v>1560</v>
      </c>
      <c r="B503" s="30" t="s">
        <v>1561</v>
      </c>
      <c r="C503" s="30" t="s">
        <v>165</v>
      </c>
      <c r="D503" s="30" t="s"/>
      <c r="E503" s="31" t="s">
        <v>374</v>
      </c>
      <c r="F503" s="22" t="s"/>
      <c r="G503" s="22" t="s"/>
      <c r="H503" s="22" t="s"/>
      <c r="I503" s="22" t="s"/>
      <c r="J503" s="22" t="s"/>
      <c r="K503" s="22" t="s"/>
      <c r="L503" s="22" t="s"/>
      <c r="M503" s="22" t="s"/>
      <c r="N503" s="22" t="s"/>
      <c r="O503" s="22" t="s"/>
      <c r="P503" s="22" t="s"/>
      <c r="Q503" s="22" t="s"/>
      <c r="R503" s="22" t="s"/>
      <c r="S503" s="22" t="s"/>
      <c r="T503" s="22" t="s"/>
      <c r="U503" s="22" t="s"/>
      <c r="V503" s="22" t="s"/>
      <c r="W503" s="22" t="s"/>
      <c r="X503" s="22" t="s"/>
      <c r="Y503" s="22" t="s"/>
      <c r="Z503" s="22" t="s"/>
    </row>
    <row r="504" spans="1:26" ht="16.8" customHeight="true">
      <c r="A504" s="41" t="s">
        <v>1562</v>
      </c>
      <c r="B504" s="30" t="s">
        <v>1563</v>
      </c>
      <c r="C504" s="30" t="s">
        <v>165</v>
      </c>
      <c r="D504" s="30" t="s"/>
      <c r="E504" s="31" t="s">
        <v>1564</v>
      </c>
      <c r="F504" s="22" t="s"/>
      <c r="G504" s="22" t="s"/>
      <c r="H504" s="22" t="s"/>
      <c r="I504" s="22" t="s"/>
      <c r="J504" s="22" t="s"/>
      <c r="K504" s="22" t="s"/>
      <c r="L504" s="22" t="s"/>
      <c r="M504" s="22" t="s"/>
      <c r="N504" s="22" t="s"/>
      <c r="O504" s="22" t="s"/>
      <c r="P504" s="22" t="s"/>
      <c r="Q504" s="22" t="s"/>
      <c r="R504" s="22" t="s"/>
      <c r="S504" s="22" t="s"/>
      <c r="T504" s="22" t="s"/>
      <c r="U504" s="22" t="s"/>
      <c r="V504" s="22" t="s"/>
      <c r="W504" s="22" t="s"/>
      <c r="X504" s="22" t="s"/>
      <c r="Y504" s="22" t="s"/>
      <c r="Z504" s="22" t="s"/>
    </row>
    <row r="505" spans="1:26" ht="16.8" customHeight="true">
      <c r="A505" s="47" t="s">
        <v>1121</v>
      </c>
      <c r="B505" s="30" t="s">
        <v>1122</v>
      </c>
      <c r="C505" s="30" t="s">
        <v>165</v>
      </c>
      <c r="D505" s="30" t="s"/>
      <c r="E505" s="31" t="s">
        <v>1123</v>
      </c>
      <c r="F505" s="22" t="s"/>
      <c r="G505" s="22" t="s"/>
      <c r="H505" s="22" t="s"/>
      <c r="I505" s="22" t="s"/>
      <c r="J505" s="22" t="s"/>
      <c r="K505" s="22" t="s"/>
      <c r="L505" s="22" t="s"/>
      <c r="M505" s="22" t="s"/>
      <c r="N505" s="22" t="s"/>
      <c r="O505" s="22" t="s"/>
      <c r="P505" s="22" t="s"/>
      <c r="Q505" s="22" t="s"/>
      <c r="R505" s="22" t="s"/>
      <c r="S505" s="22" t="s"/>
      <c r="T505" s="22" t="s"/>
      <c r="U505" s="22" t="s"/>
      <c r="V505" s="22" t="s"/>
      <c r="W505" s="22" t="s"/>
      <c r="X505" s="22" t="s"/>
      <c r="Y505" s="22" t="s"/>
      <c r="Z505" s="22" t="s"/>
    </row>
    <row r="506" spans="1:26" ht="16.8" customHeight="true">
      <c r="A506" s="47" t="s">
        <v>1124</v>
      </c>
      <c r="B506" s="30" t="s">
        <v>1125</v>
      </c>
      <c r="C506" s="30" t="s">
        <v>165</v>
      </c>
      <c r="D506" s="30" t="s"/>
      <c r="E506" s="31" t="s">
        <v>1126</v>
      </c>
      <c r="F506" s="22" t="s"/>
      <c r="G506" s="22" t="s"/>
      <c r="H506" s="22" t="s"/>
      <c r="I506" s="22" t="s"/>
      <c r="J506" s="22" t="s"/>
      <c r="K506" s="22" t="s"/>
      <c r="L506" s="22" t="s"/>
      <c r="M506" s="22" t="s"/>
      <c r="N506" s="22" t="s"/>
      <c r="O506" s="22" t="s"/>
      <c r="P506" s="22" t="s"/>
      <c r="Q506" s="22" t="s"/>
      <c r="R506" s="22" t="s"/>
      <c r="S506" s="22" t="s"/>
      <c r="T506" s="22" t="s"/>
      <c r="U506" s="22" t="s"/>
      <c r="V506" s="22" t="s"/>
      <c r="W506" s="22" t="s"/>
      <c r="X506" s="22" t="s"/>
      <c r="Y506" s="22" t="s"/>
      <c r="Z506" s="22" t="s"/>
    </row>
    <row r="507" spans="1:26" ht="16.8" customHeight="true">
      <c r="A507" s="47" t="s">
        <v>1565</v>
      </c>
      <c r="B507" s="30" t="s">
        <v>1566</v>
      </c>
      <c r="C507" s="30" t="s">
        <v>165</v>
      </c>
      <c r="D507" s="30" t="s"/>
      <c r="E507" s="31" t="s">
        <v>1567</v>
      </c>
      <c r="F507" s="22" t="s"/>
      <c r="G507" s="22" t="s"/>
      <c r="H507" s="22" t="s"/>
      <c r="I507" s="22" t="s"/>
      <c r="J507" s="22" t="s"/>
      <c r="K507" s="22" t="s"/>
      <c r="L507" s="22" t="s"/>
      <c r="M507" s="22" t="s"/>
      <c r="N507" s="22" t="s"/>
      <c r="O507" s="22" t="s"/>
      <c r="P507" s="22" t="s"/>
      <c r="Q507" s="22" t="s"/>
      <c r="R507" s="22" t="s"/>
      <c r="S507" s="22" t="s"/>
      <c r="T507" s="22" t="s"/>
      <c r="U507" s="22" t="s"/>
      <c r="V507" s="22" t="s"/>
      <c r="W507" s="22" t="s"/>
      <c r="X507" s="22" t="s"/>
      <c r="Y507" s="22" t="s"/>
      <c r="Z507" s="22" t="s"/>
    </row>
    <row r="508" spans="1:26" ht="16.8" customHeight="true">
      <c r="A508" s="47" t="s">
        <v>1127</v>
      </c>
      <c r="B508" s="30" t="s">
        <v>1128</v>
      </c>
      <c r="C508" s="30" t="s">
        <v>165</v>
      </c>
      <c r="D508" s="30" t="s"/>
      <c r="E508" s="31" t="s">
        <v>1129</v>
      </c>
      <c r="F508" s="22" t="s"/>
      <c r="G508" s="22" t="s"/>
      <c r="H508" s="22" t="s"/>
      <c r="I508" s="22" t="s"/>
      <c r="J508" s="22" t="s"/>
      <c r="K508" s="22" t="s"/>
      <c r="L508" s="22" t="s"/>
      <c r="M508" s="22" t="s"/>
      <c r="N508" s="22" t="s"/>
      <c r="O508" s="22" t="s"/>
      <c r="P508" s="22" t="s"/>
      <c r="Q508" s="22" t="s"/>
      <c r="R508" s="22" t="s"/>
      <c r="S508" s="22" t="s"/>
      <c r="T508" s="22" t="s"/>
      <c r="U508" s="22" t="s"/>
      <c r="V508" s="22" t="s"/>
      <c r="W508" s="22" t="s"/>
      <c r="X508" s="22" t="s"/>
      <c r="Y508" s="22" t="s"/>
      <c r="Z508" s="22" t="s"/>
    </row>
    <row r="509" spans="1:26" ht="16.8" customHeight="true">
      <c r="A509" s="47" t="s">
        <v>1568</v>
      </c>
      <c r="B509" s="30" t="s">
        <v>1569</v>
      </c>
      <c r="C509" s="30" t="s">
        <v>484</v>
      </c>
      <c r="D509" s="30" t="s"/>
      <c r="E509" s="31" t="s">
        <v>1570</v>
      </c>
      <c r="F509" s="22" t="s"/>
      <c r="G509" s="22" t="s"/>
      <c r="H509" s="22" t="s"/>
      <c r="I509" s="22" t="s"/>
      <c r="J509" s="22" t="s"/>
      <c r="K509" s="22" t="s"/>
      <c r="L509" s="22" t="s"/>
      <c r="M509" s="22" t="s"/>
      <c r="N509" s="22" t="s"/>
      <c r="O509" s="22" t="s"/>
      <c r="P509" s="22" t="s"/>
      <c r="Q509" s="22" t="s"/>
      <c r="R509" s="22" t="s"/>
      <c r="S509" s="22" t="s"/>
      <c r="T509" s="22" t="s"/>
      <c r="U509" s="22" t="s"/>
      <c r="V509" s="22" t="s"/>
      <c r="W509" s="22" t="s"/>
      <c r="X509" s="22" t="s"/>
      <c r="Y509" s="22" t="s"/>
      <c r="Z509" s="22" t="s"/>
    </row>
    <row r="510" spans="1:26" ht="16.8" customHeight="true">
      <c r="A510" s="48" t="s">
        <v>1130</v>
      </c>
      <c r="B510" s="30" t="s">
        <v>1131</v>
      </c>
      <c r="C510" s="30" t="s">
        <v>165</v>
      </c>
      <c r="D510" s="30" t="s"/>
      <c r="E510" s="49" t="s">
        <v>1132</v>
      </c>
      <c r="F510" s="22" t="s"/>
      <c r="G510" s="22" t="s"/>
      <c r="H510" s="22" t="s"/>
      <c r="I510" s="22" t="s"/>
      <c r="J510" s="22" t="s"/>
      <c r="K510" s="22" t="s"/>
      <c r="L510" s="22" t="s"/>
      <c r="M510" s="22" t="s"/>
      <c r="N510" s="22" t="s"/>
      <c r="O510" s="22" t="s"/>
      <c r="P510" s="22" t="s"/>
      <c r="Q510" s="22" t="s"/>
      <c r="R510" s="22" t="s"/>
      <c r="S510" s="22" t="s"/>
      <c r="T510" s="22" t="s"/>
      <c r="U510" s="22" t="s"/>
      <c r="V510" s="22" t="s"/>
      <c r="W510" s="22" t="s"/>
      <c r="X510" s="22" t="s"/>
      <c r="Y510" s="22" t="s"/>
      <c r="Z510" s="22" t="s"/>
    </row>
    <row r="511" spans="1:26" ht="16.8" customHeight="true">
      <c r="A511" s="50">
        <v>46082</v>
      </c>
      <c r="B511" s="51" t="s"/>
      <c r="C511" s="51" t="s"/>
      <c r="D511" s="51" t="s"/>
      <c r="E511" s="52" t="s"/>
      <c r="F511" s="46" t="s"/>
      <c r="G511" s="46" t="s"/>
      <c r="H511" s="46" t="s"/>
      <c r="I511" s="46" t="s"/>
      <c r="J511" s="46" t="s"/>
      <c r="K511" s="46" t="s"/>
      <c r="L511" s="46" t="s"/>
      <c r="M511" s="46" t="s"/>
      <c r="N511" s="46" t="s"/>
      <c r="O511" s="46" t="s"/>
      <c r="P511" s="46" t="s"/>
      <c r="Q511" s="46" t="s"/>
      <c r="R511" s="46" t="s"/>
      <c r="S511" s="46" t="s"/>
      <c r="T511" s="46" t="s"/>
      <c r="U511" s="46" t="s"/>
      <c r="V511" s="46" t="s"/>
      <c r="W511" s="46" t="s"/>
      <c r="X511" s="46" t="s"/>
      <c r="Y511" s="46" t="s"/>
      <c r="Z511" s="46" t="s"/>
    </row>
    <row r="512" spans="1:26" ht="16.8" customHeight="true">
      <c r="A512" s="47" t="s">
        <v>1571</v>
      </c>
      <c r="B512" s="30" t="s">
        <v>1572</v>
      </c>
      <c r="C512" s="30" t="s">
        <v>797</v>
      </c>
      <c r="D512" s="30" t="s"/>
      <c r="E512" s="31" t="s">
        <v>1573</v>
      </c>
      <c r="F512" s="46" t="s"/>
      <c r="G512" s="46" t="s"/>
      <c r="H512" s="46" t="s"/>
      <c r="I512" s="46" t="s"/>
      <c r="J512" s="46" t="s"/>
      <c r="K512" s="46" t="s"/>
      <c r="L512" s="46" t="s"/>
      <c r="M512" s="46" t="s"/>
      <c r="N512" s="46" t="s"/>
      <c r="O512" s="46" t="s"/>
      <c r="P512" s="46" t="s"/>
      <c r="Q512" s="46" t="s"/>
      <c r="R512" s="46" t="s"/>
      <c r="S512" s="46" t="s"/>
      <c r="T512" s="46" t="s"/>
      <c r="U512" s="46" t="s"/>
      <c r="V512" s="46" t="s"/>
      <c r="W512" s="46" t="s"/>
      <c r="X512" s="46" t="s"/>
      <c r="Y512" s="46" t="s"/>
      <c r="Z512" s="46" t="s"/>
    </row>
    <row r="513" spans="1:5" ht="16.8" customHeight="true">
      <c r="A513" s="47" t="s">
        <v>407</v>
      </c>
      <c r="B513" s="30" t="s">
        <v>408</v>
      </c>
      <c r="C513" s="30" t="s">
        <v>165</v>
      </c>
      <c r="D513" s="30" t="s"/>
      <c r="E513" s="31" t="s">
        <v>1574</v>
      </c>
    </row>
    <row r="514" spans="1:5" ht="16.8" customHeight="true">
      <c r="A514" s="47" t="s">
        <v>1575</v>
      </c>
      <c r="B514" s="30" t="s">
        <v>1576</v>
      </c>
      <c r="C514" s="30" t="s">
        <v>165</v>
      </c>
      <c r="D514" s="30" t="s"/>
      <c r="E514" s="31" t="s">
        <v>1577</v>
      </c>
    </row>
    <row r="515" spans="1:5" ht="16.8" customHeight="true">
      <c r="A515" s="47" t="s">
        <v>1578</v>
      </c>
      <c r="B515" s="30" t="s">
        <v>1579</v>
      </c>
      <c r="C515" s="30" t="s">
        <v>165</v>
      </c>
      <c r="D515" s="30" t="s"/>
      <c r="E515" s="31" t="s">
        <v>1580</v>
      </c>
    </row>
    <row r="516" spans="1:5" ht="16.8" customHeight="true">
      <c r="A516" s="47" t="s">
        <v>1581</v>
      </c>
      <c r="B516" s="30" t="s">
        <v>1582</v>
      </c>
      <c r="C516" s="30" t="s">
        <v>165</v>
      </c>
      <c r="D516" s="30" t="s"/>
      <c r="E516" s="31" t="s">
        <v>1583</v>
      </c>
    </row>
    <row r="517" spans="1:5" ht="16.8" customHeight="true">
      <c r="A517" s="47" t="s">
        <v>1584</v>
      </c>
      <c r="B517" s="30" t="s">
        <v>1585</v>
      </c>
      <c r="C517" s="30" t="s">
        <v>165</v>
      </c>
      <c r="D517" s="30" t="s"/>
      <c r="E517" s="31" t="s">
        <v>1586</v>
      </c>
    </row>
    <row r="518" spans="1:5" ht="16.8" customHeight="true">
      <c r="A518" s="47" t="s">
        <v>1587</v>
      </c>
      <c r="B518" s="30" t="s">
        <v>1588</v>
      </c>
      <c r="C518" s="30" t="s">
        <v>165</v>
      </c>
      <c r="D518" s="30" t="s"/>
      <c r="E518" s="31" t="s">
        <v>1589</v>
      </c>
    </row>
    <row r="519" spans="1:5" ht="16.8" customHeight="true">
      <c r="A519" s="47" t="s">
        <v>1590</v>
      </c>
      <c r="B519" s="30" t="s">
        <v>1591</v>
      </c>
      <c r="C519" s="30" t="s">
        <v>152</v>
      </c>
      <c r="D519" s="30" t="s">
        <v>1592</v>
      </c>
      <c r="E519" s="31" t="s">
        <v>1593</v>
      </c>
    </row>
    <row r="520" spans="1:5" ht="16.8" customHeight="true">
      <c r="A520" s="47" t="s">
        <v>1594</v>
      </c>
      <c r="B520" s="30" t="s">
        <v>1595</v>
      </c>
      <c r="C520" s="30" t="s">
        <v>165</v>
      </c>
      <c r="D520" s="30" t="s"/>
      <c r="E520" s="31" t="s">
        <v>174</v>
      </c>
    </row>
    <row r="521" spans="1:5" ht="16.8" customHeight="true">
      <c r="A521" s="47" t="s">
        <v>1596</v>
      </c>
      <c r="B521" s="30" t="s">
        <v>1597</v>
      </c>
      <c r="C521" s="30" t="s">
        <v>1521</v>
      </c>
      <c r="D521" s="30" t="s"/>
      <c r="E521" s="31" t="s">
        <v>1598</v>
      </c>
    </row>
    <row r="522" spans="1:5" ht="16.8" customHeight="true">
      <c r="A522" s="47" t="s">
        <v>1519</v>
      </c>
      <c r="B522" s="30" t="s">
        <v>1599</v>
      </c>
      <c r="C522" s="30" t="s">
        <v>443</v>
      </c>
      <c r="D522" s="30" t="s">
        <v>232</v>
      </c>
      <c r="E522" s="31" t="s">
        <v>1600</v>
      </c>
    </row>
    <row r="523" spans="1:5" ht="16.8" customHeight="true">
      <c r="A523" s="47" t="s">
        <v>1601</v>
      </c>
      <c r="B523" s="30" t="s">
        <v>373</v>
      </c>
      <c r="C523" s="30" t="s">
        <v>797</v>
      </c>
      <c r="D523" s="30" t="s"/>
      <c r="E523" s="31" t="s">
        <v>1105</v>
      </c>
    </row>
    <row r="524" spans="1:5" ht="16.8" customHeight="true">
      <c r="A524" s="47" t="s">
        <v>1602</v>
      </c>
      <c r="B524" s="30" t="s">
        <v>1603</v>
      </c>
      <c r="C524" s="30" t="s">
        <v>165</v>
      </c>
      <c r="D524" s="30" t="s"/>
      <c r="E524" s="31" t="s">
        <v>1604</v>
      </c>
    </row>
    <row r="525" spans="1:5" ht="16.8" customHeight="true">
      <c r="A525" s="47" t="s">
        <v>212</v>
      </c>
      <c r="B525" s="30" t="s">
        <v>213</v>
      </c>
      <c r="C525" s="30" t="s">
        <v>165</v>
      </c>
      <c r="D525" s="30" t="s"/>
      <c r="E525" s="31" t="s">
        <v>1605</v>
      </c>
    </row>
    <row r="526" spans="1:5" ht="16.8" customHeight="true">
      <c r="A526" s="47" t="s">
        <v>1606</v>
      </c>
      <c r="B526" s="30" t="s">
        <v>1607</v>
      </c>
      <c r="C526" s="30" t="s">
        <v>165</v>
      </c>
      <c r="D526" s="30" t="s"/>
      <c r="E526" s="31" t="s">
        <v>1608</v>
      </c>
    </row>
    <row r="527" spans="1:5" ht="16.8" customHeight="true">
      <c r="A527" s="47" t="s">
        <v>1609</v>
      </c>
      <c r="B527" s="30" t="s">
        <v>182</v>
      </c>
      <c r="C527" s="30" t="s">
        <v>165</v>
      </c>
      <c r="D527" s="30" t="s"/>
      <c r="E527" s="31" t="s">
        <v>1610</v>
      </c>
    </row>
    <row r="528" spans="1:5" ht="16.8" customHeight="true">
      <c r="A528" s="47" t="s">
        <v>1611</v>
      </c>
      <c r="B528" s="30" t="s">
        <v>520</v>
      </c>
      <c r="C528" s="30" t="s">
        <v>165</v>
      </c>
      <c r="D528" s="30" t="s"/>
      <c r="E528" s="31" t="s">
        <v>1612</v>
      </c>
    </row>
    <row r="529" spans="1:5" ht="16.8" customHeight="true">
      <c r="A529" s="47" t="s">
        <v>1613</v>
      </c>
      <c r="B529" s="30" t="s">
        <v>1614</v>
      </c>
      <c r="C529" s="30" t="s">
        <v>165</v>
      </c>
      <c r="D529" s="30" t="s"/>
      <c r="E529" s="31" t="s">
        <v>1615</v>
      </c>
    </row>
    <row r="530" spans="1:5" ht="16.8" customHeight="true">
      <c r="A530" s="47" t="s">
        <v>1616</v>
      </c>
      <c r="B530" s="30" t="s">
        <v>1617</v>
      </c>
      <c r="C530" s="30" t="s">
        <v>165</v>
      </c>
      <c r="D530" s="30" t="s"/>
      <c r="E530" s="31" t="s">
        <v>1618</v>
      </c>
    </row>
    <row r="531" spans="1:5" ht="16.8" customHeight="true">
      <c r="A531" s="47" t="s">
        <v>1619</v>
      </c>
      <c r="B531" s="30" t="s">
        <v>1620</v>
      </c>
      <c r="C531" s="30" t="s">
        <v>165</v>
      </c>
      <c r="D531" s="30" t="s"/>
      <c r="E531" s="31" t="s">
        <v>1621</v>
      </c>
    </row>
    <row r="532" spans="1:5" ht="16.8" customHeight="true">
      <c r="A532" s="47" t="s">
        <v>1622</v>
      </c>
      <c r="B532" s="30" t="s">
        <v>182</v>
      </c>
      <c r="C532" s="30" t="s">
        <v>165</v>
      </c>
      <c r="D532" s="30" t="s"/>
      <c r="E532" s="31" t="s">
        <v>1623</v>
      </c>
    </row>
    <row r="533" spans="1:5" ht="16.8" customHeight="true">
      <c r="A533" s="47" t="s">
        <v>834</v>
      </c>
      <c r="B533" s="30" t="s">
        <v>835</v>
      </c>
      <c r="C533" s="30" t="s">
        <v>165</v>
      </c>
      <c r="D533" s="30" t="s"/>
      <c r="E533" s="31" t="s">
        <v>1624</v>
      </c>
    </row>
    <row r="534" spans="1:5" ht="16.8" customHeight="true">
      <c r="A534" s="47" t="s">
        <v>1625</v>
      </c>
      <c r="B534" s="30" t="s">
        <v>1626</v>
      </c>
      <c r="C534" s="30" t="s">
        <v>165</v>
      </c>
      <c r="D534" s="30" t="s"/>
      <c r="E534" s="31" t="s">
        <v>1627</v>
      </c>
    </row>
    <row r="535" spans="1:5" ht="16.8" customHeight="true">
      <c r="A535" s="47" t="s">
        <v>1628</v>
      </c>
      <c r="B535" s="30" t="s">
        <v>1629</v>
      </c>
      <c r="C535" s="30" t="s">
        <v>263</v>
      </c>
      <c r="D535" s="30" t="s">
        <v>170</v>
      </c>
      <c r="E535" s="31" t="s">
        <v>1630</v>
      </c>
    </row>
    <row r="536" spans="1:5" ht="16.8" customHeight="true">
      <c r="A536" s="47" t="s">
        <v>1631</v>
      </c>
      <c r="B536" s="30" t="s">
        <v>1632</v>
      </c>
      <c r="C536" s="30" t="s">
        <v>165</v>
      </c>
      <c r="D536" s="30" t="s"/>
      <c r="E536" s="31" t="s">
        <v>640</v>
      </c>
    </row>
    <row r="537" spans="1:5" ht="16.8" customHeight="true">
      <c r="A537" s="47" t="s">
        <v>1633</v>
      </c>
      <c r="B537" s="30" t="s">
        <v>1634</v>
      </c>
      <c r="C537" s="30" t="s">
        <v>165</v>
      </c>
      <c r="D537" s="30" t="s"/>
      <c r="E537" s="31" t="s">
        <v>1635</v>
      </c>
    </row>
    <row r="538" spans="1:5" ht="16.8" customHeight="true">
      <c r="A538" s="47" t="s">
        <v>1636</v>
      </c>
      <c r="B538" s="30" t="s">
        <v>1637</v>
      </c>
      <c r="C538" s="30" t="s">
        <v>797</v>
      </c>
      <c r="D538" s="30" t="s"/>
      <c r="E538" s="31" t="s">
        <v>1638</v>
      </c>
    </row>
    <row r="539" spans="1:5" ht="16.8" customHeight="true">
      <c r="A539" s="47" t="s">
        <v>1639</v>
      </c>
      <c r="B539" s="30" t="s">
        <v>1640</v>
      </c>
      <c r="C539" s="30" t="s">
        <v>165</v>
      </c>
      <c r="D539" s="30" t="s"/>
      <c r="E539" s="31" t="s">
        <v>1641</v>
      </c>
    </row>
    <row r="540" spans="1:5" ht="16.8" customHeight="true">
      <c r="A540" s="47" t="s">
        <v>431</v>
      </c>
      <c r="B540" s="30" t="s">
        <v>432</v>
      </c>
      <c r="C540" s="30" t="s">
        <v>165</v>
      </c>
      <c r="D540" s="30" t="s"/>
      <c r="E540" s="31" t="s">
        <v>1642</v>
      </c>
    </row>
    <row r="541" spans="1:5" ht="16.8" customHeight="true">
      <c r="A541" s="47" t="s">
        <v>1643</v>
      </c>
      <c r="B541" s="30" t="s">
        <v>1644</v>
      </c>
      <c r="C541" s="30" t="s">
        <v>165</v>
      </c>
      <c r="D541" s="30" t="s"/>
      <c r="E541" s="31" t="s">
        <v>1645</v>
      </c>
    </row>
    <row r="542" spans="1:5" ht="16.8" customHeight="true">
      <c r="A542" s="47" t="s">
        <v>1646</v>
      </c>
      <c r="B542" s="30" t="s">
        <v>1647</v>
      </c>
      <c r="C542" s="30" t="s">
        <v>165</v>
      </c>
      <c r="D542" s="30" t="s"/>
      <c r="E542" s="31" t="s">
        <v>1648</v>
      </c>
    </row>
    <row r="543" spans="1:5" ht="16.8" customHeight="true">
      <c r="A543" s="47" t="s">
        <v>591</v>
      </c>
      <c r="B543" s="30" t="s">
        <v>592</v>
      </c>
      <c r="C543" s="30" t="s">
        <v>165</v>
      </c>
      <c r="D543" s="30" t="s"/>
      <c r="E543" s="31" t="s">
        <v>1649</v>
      </c>
    </row>
    <row r="544" spans="1:5" ht="16.8" customHeight="true">
      <c r="A544" s="47" t="s">
        <v>1650</v>
      </c>
      <c r="B544" s="30" t="s">
        <v>1651</v>
      </c>
      <c r="C544" s="30" t="s">
        <v>165</v>
      </c>
      <c r="D544" s="30" t="s"/>
      <c r="E544" s="31" t="s">
        <v>1652</v>
      </c>
    </row>
    <row r="545" spans="1:5" ht="16.8" customHeight="true">
      <c r="A545" s="47" t="s">
        <v>1653</v>
      </c>
      <c r="B545" s="30" t="s">
        <v>1654</v>
      </c>
      <c r="C545" s="30" t="s">
        <v>165</v>
      </c>
      <c r="D545" s="30" t="s">
        <v>1655</v>
      </c>
      <c r="E545" s="31" t="s">
        <v>1656</v>
      </c>
    </row>
    <row r="546" spans="1:5" ht="16.8" customHeight="true">
      <c r="A546" s="47" t="s">
        <v>1657</v>
      </c>
      <c r="B546" s="30" t="s">
        <v>1658</v>
      </c>
      <c r="C546" s="30" t="s">
        <v>236</v>
      </c>
      <c r="D546" s="30" t="s">
        <v>170</v>
      </c>
      <c r="E546" s="31" t="s">
        <v>1659</v>
      </c>
    </row>
    <row r="547" spans="1:5" ht="16.8" customHeight="true">
      <c r="A547" s="47" t="s">
        <v>1660</v>
      </c>
      <c r="B547" s="30" t="s">
        <v>1661</v>
      </c>
      <c r="C547" s="30" t="s">
        <v>165</v>
      </c>
      <c r="D547" s="30" t="s"/>
      <c r="E547" s="31" t="s">
        <v>1662</v>
      </c>
    </row>
    <row r="548" spans="1:5" ht="16.8" customHeight="true">
      <c r="A548" s="47" t="s">
        <v>1663</v>
      </c>
      <c r="B548" s="30" t="s">
        <v>1664</v>
      </c>
      <c r="C548" s="30" t="s">
        <v>165</v>
      </c>
      <c r="D548" s="30" t="s"/>
      <c r="E548" s="31" t="s">
        <v>1665</v>
      </c>
    </row>
    <row r="549" spans="1:5" ht="16.8" customHeight="true">
      <c r="A549" s="47" t="s">
        <v>1666</v>
      </c>
      <c r="B549" s="30" t="s">
        <v>1667</v>
      </c>
      <c r="C549" s="30" t="s">
        <v>165</v>
      </c>
      <c r="D549" s="30" t="s"/>
      <c r="E549" s="31" t="s">
        <v>743</v>
      </c>
    </row>
    <row r="550" spans="1:5" ht="16.8" customHeight="true">
      <c r="A550" s="47" t="s">
        <v>1668</v>
      </c>
      <c r="B550" s="30" t="s">
        <v>373</v>
      </c>
      <c r="C550" s="30" t="s">
        <v>165</v>
      </c>
      <c r="D550" s="30" t="s"/>
      <c r="E550" s="31" t="s">
        <v>1669</v>
      </c>
    </row>
    <row r="551" spans="1:5" ht="16.8" customHeight="true">
      <c r="A551" s="47" t="s">
        <v>1670</v>
      </c>
      <c r="B551" s="30" t="s">
        <v>1671</v>
      </c>
      <c r="C551" s="30" t="s">
        <v>165</v>
      </c>
      <c r="D551" s="30" t="s"/>
      <c r="E551" s="31" t="s">
        <v>1296</v>
      </c>
    </row>
    <row r="552" spans="1:5" ht="16.8" customHeight="true">
      <c r="A552" s="47" t="s">
        <v>1672</v>
      </c>
      <c r="B552" s="30" t="s">
        <v>1673</v>
      </c>
      <c r="C552" s="30" t="s">
        <v>161</v>
      </c>
      <c r="D552" s="30" t="s"/>
      <c r="E552" s="31" t="s">
        <v>1674</v>
      </c>
    </row>
    <row r="553" spans="1:5" ht="16.8" customHeight="true">
      <c r="A553" s="47" t="s">
        <v>1675</v>
      </c>
      <c r="B553" s="30" t="s">
        <v>1676</v>
      </c>
      <c r="C553" s="30" t="s">
        <v>165</v>
      </c>
      <c r="D553" s="30" t="s"/>
      <c r="E553" s="31" t="s">
        <v>1677</v>
      </c>
    </row>
    <row r="554" spans="1:5" ht="16.8" customHeight="true">
      <c r="A554" s="47" t="s">
        <v>1678</v>
      </c>
      <c r="B554" s="30" t="s">
        <v>1679</v>
      </c>
      <c r="C554" s="30" t="s">
        <v>165</v>
      </c>
      <c r="D554" s="30" t="s"/>
      <c r="E554" s="31" t="s">
        <v>1680</v>
      </c>
    </row>
    <row r="555" spans="1:5" ht="16.8" customHeight="true">
      <c r="A555" s="47" t="s">
        <v>1681</v>
      </c>
      <c r="B555" s="30" t="s">
        <v>1682</v>
      </c>
      <c r="C555" s="30" t="s">
        <v>165</v>
      </c>
      <c r="D555" s="30" t="s"/>
      <c r="E555" s="31" t="s">
        <v>1683</v>
      </c>
    </row>
    <row r="556" spans="1:5" ht="16.8" customHeight="true">
      <c r="A556" s="47" t="s">
        <v>1684</v>
      </c>
      <c r="B556" s="30" t="s">
        <v>1685</v>
      </c>
      <c r="C556" s="30" t="s">
        <v>165</v>
      </c>
      <c r="D556" s="30" t="s"/>
      <c r="E556" s="31" t="s">
        <v>1686</v>
      </c>
    </row>
    <row r="557" spans="1:5" ht="16.8" customHeight="true">
      <c r="A557" s="47" t="s">
        <v>1687</v>
      </c>
      <c r="B557" s="30" t="s">
        <v>1688</v>
      </c>
      <c r="C557" s="30" t="s">
        <v>165</v>
      </c>
      <c r="D557" s="30" t="s"/>
      <c r="E557" s="31" t="s">
        <v>1689</v>
      </c>
    </row>
    <row r="558" spans="1:5" ht="16.8" customHeight="true">
      <c r="A558" s="47" t="s">
        <v>1690</v>
      </c>
      <c r="B558" s="30" t="s">
        <v>1691</v>
      </c>
      <c r="C558" s="30" t="s">
        <v>165</v>
      </c>
      <c r="D558" s="30" t="s"/>
      <c r="E558" s="31" t="s">
        <v>1070</v>
      </c>
    </row>
    <row r="559" spans="1:5" ht="16.8" customHeight="true">
      <c r="A559" s="47" t="s">
        <v>250</v>
      </c>
      <c r="B559" s="30" t="s">
        <v>251</v>
      </c>
      <c r="C559" s="30" t="s">
        <v>165</v>
      </c>
      <c r="D559" s="30" t="s"/>
      <c r="E559" s="31" t="s">
        <v>1692</v>
      </c>
    </row>
    <row r="560" spans="1:5" ht="16.8" customHeight="true">
      <c r="A560" s="47" t="s">
        <v>1693</v>
      </c>
      <c r="B560" s="30" t="s">
        <v>1694</v>
      </c>
      <c r="C560" s="30" t="s">
        <v>165</v>
      </c>
      <c r="D560" s="30" t="s"/>
      <c r="E560" s="31" t="s">
        <v>1695</v>
      </c>
    </row>
    <row r="561" spans="1:5" ht="16.8" customHeight="true">
      <c r="A561" s="47" t="s">
        <v>1696</v>
      </c>
      <c r="B561" s="30" t="s">
        <v>1697</v>
      </c>
      <c r="C561" s="30" t="s">
        <v>263</v>
      </c>
      <c r="D561" s="30" t="s">
        <v>153</v>
      </c>
      <c r="E561" s="31" t="s">
        <v>1698</v>
      </c>
    </row>
    <row r="562" spans="1:5" ht="16.8" customHeight="true">
      <c r="A562" s="47" t="s">
        <v>1699</v>
      </c>
      <c r="B562" s="30" t="s">
        <v>1700</v>
      </c>
      <c r="C562" s="30" t="s">
        <v>1521</v>
      </c>
      <c r="D562" s="30" t="s">
        <v>153</v>
      </c>
      <c r="E562" s="31" t="s">
        <v>1701</v>
      </c>
    </row>
    <row r="563" spans="1:5" ht="16.8" customHeight="true">
      <c r="A563" s="47" t="s">
        <v>1702</v>
      </c>
      <c r="B563" s="30" t="s">
        <v>1703</v>
      </c>
      <c r="C563" s="30" t="s">
        <v>484</v>
      </c>
      <c r="D563" s="30" t="s">
        <v>1211</v>
      </c>
      <c r="E563" s="31" t="s">
        <v>1704</v>
      </c>
    </row>
    <row r="564" spans="1:5" ht="16.8" customHeight="true">
      <c r="A564" s="47" t="s">
        <v>1705</v>
      </c>
      <c r="B564" s="30" t="s">
        <v>1706</v>
      </c>
      <c r="C564" s="30" t="s">
        <v>702</v>
      </c>
      <c r="D564" s="30" t="s">
        <v>157</v>
      </c>
      <c r="E564" s="31" t="s">
        <v>1707</v>
      </c>
    </row>
    <row r="565" spans="1:5" ht="16.8" customHeight="true">
      <c r="A565" s="47" t="s">
        <v>493</v>
      </c>
      <c r="B565" s="30" t="s">
        <v>494</v>
      </c>
      <c r="C565" s="30" t="s">
        <v>165</v>
      </c>
      <c r="D565" s="30" t="s"/>
      <c r="E565" s="31" t="s">
        <v>1708</v>
      </c>
    </row>
    <row r="566" spans="1:5" ht="16.8" customHeight="true">
      <c r="A566" s="47" t="s">
        <v>1709</v>
      </c>
      <c r="B566" s="30" t="s">
        <v>1710</v>
      </c>
      <c r="C566" s="30" t="s">
        <v>165</v>
      </c>
      <c r="D566" s="30" t="s">
        <v>170</v>
      </c>
      <c r="E566" s="31" t="s">
        <v>1711</v>
      </c>
    </row>
    <row r="567" spans="1:5" ht="16.8" customHeight="true">
      <c r="A567" s="47" t="s">
        <v>346</v>
      </c>
      <c r="B567" s="30" t="s">
        <v>347</v>
      </c>
      <c r="C567" s="30" t="s">
        <v>819</v>
      </c>
      <c r="D567" s="30" t="s">
        <v>170</v>
      </c>
      <c r="E567" s="31" t="s">
        <v>1712</v>
      </c>
    </row>
    <row r="568" spans="1:5" ht="16.8" customHeight="true">
      <c r="A568" s="47" t="s">
        <v>1713</v>
      </c>
      <c r="B568" s="30" t="s">
        <v>1714</v>
      </c>
      <c r="C568" s="30" t="s">
        <v>165</v>
      </c>
      <c r="D568" s="30" t="s"/>
      <c r="E568" s="31" t="s">
        <v>1715</v>
      </c>
    </row>
    <row r="569" spans="1:5" ht="16.8" customHeight="true">
      <c r="A569" s="47" t="s">
        <v>1716</v>
      </c>
      <c r="B569" s="30" t="s">
        <v>1717</v>
      </c>
      <c r="C569" s="30" t="s">
        <v>165</v>
      </c>
      <c r="D569" s="30" t="s"/>
      <c r="E569" s="31" t="s">
        <v>1718</v>
      </c>
    </row>
    <row r="570" spans="1:5" ht="16.8" customHeight="true">
      <c r="A570" s="47" t="s">
        <v>1719</v>
      </c>
      <c r="B570" s="30" t="s">
        <v>1720</v>
      </c>
      <c r="C570" s="30" t="s">
        <v>165</v>
      </c>
      <c r="D570" s="30" t="s"/>
      <c r="E570" s="31" t="s">
        <v>1721</v>
      </c>
    </row>
    <row r="571" spans="1:5" ht="16.8" customHeight="true">
      <c r="A571" s="47" t="s">
        <v>1722</v>
      </c>
      <c r="B571" s="30" t="s">
        <v>1723</v>
      </c>
      <c r="C571" s="30" t="s">
        <v>165</v>
      </c>
      <c r="D571" s="30" t="s"/>
      <c r="E571" s="31" t="s">
        <v>1724</v>
      </c>
    </row>
    <row r="572" spans="1:5" ht="16.8" customHeight="true">
      <c r="A572" s="47" t="s">
        <v>1725</v>
      </c>
      <c r="B572" s="30" t="s">
        <v>1726</v>
      </c>
      <c r="C572" s="30" t="s">
        <v>165</v>
      </c>
      <c r="D572" s="30" t="s"/>
      <c r="E572" s="31" t="s">
        <v>1727</v>
      </c>
    </row>
    <row r="573" spans="1:5" ht="16.8" customHeight="true">
      <c r="A573" s="47" t="s">
        <v>1728</v>
      </c>
      <c r="B573" s="30" t="s">
        <v>488</v>
      </c>
      <c r="C573" s="30" t="s">
        <v>165</v>
      </c>
      <c r="D573" s="30" t="s"/>
      <c r="E573" s="31" t="s">
        <v>1729</v>
      </c>
    </row>
    <row r="574" spans="1:5" ht="16.8" customHeight="true">
      <c r="A574" s="47" t="s">
        <v>1730</v>
      </c>
      <c r="B574" s="30" t="s">
        <v>1731</v>
      </c>
      <c r="C574" s="30" t="s">
        <v>165</v>
      </c>
      <c r="D574" s="30" t="s"/>
      <c r="E574" s="31" t="s">
        <v>1732</v>
      </c>
    </row>
    <row r="575" spans="1:5" ht="16.8" customHeight="true">
      <c r="A575" s="47" t="s">
        <v>1733</v>
      </c>
      <c r="B575" s="30" t="s">
        <v>1734</v>
      </c>
      <c r="C575" s="30" t="s">
        <v>382</v>
      </c>
      <c r="D575" s="30" t="s">
        <v>830</v>
      </c>
      <c r="E575" s="31" t="s">
        <v>1735</v>
      </c>
    </row>
    <row r="576" spans="1:5" ht="16.8" customHeight="true">
      <c r="A576" s="47" t="s">
        <v>1736</v>
      </c>
      <c r="B576" s="30" t="s">
        <v>1737</v>
      </c>
      <c r="C576" s="30" t="s">
        <v>152</v>
      </c>
      <c r="D576" s="30" t="s">
        <v>1738</v>
      </c>
      <c r="E576" s="31" t="s">
        <v>1739</v>
      </c>
    </row>
    <row r="577" spans="1:5" ht="16.8" customHeight="true">
      <c r="A577" s="47" t="s">
        <v>774</v>
      </c>
      <c r="B577" s="30" t="s">
        <v>775</v>
      </c>
      <c r="C577" s="30" t="s">
        <v>165</v>
      </c>
      <c r="D577" s="30" t="s"/>
      <c r="E577" s="31" t="s">
        <v>1740</v>
      </c>
    </row>
    <row r="578" spans="1:5" ht="16.8" customHeight="true">
      <c r="A578" s="47" t="s">
        <v>1741</v>
      </c>
      <c r="B578" s="30" t="s">
        <v>1742</v>
      </c>
      <c r="C578" s="30" t="s">
        <v>165</v>
      </c>
      <c r="D578" s="30" t="s"/>
      <c r="E578" s="31" t="s">
        <v>1743</v>
      </c>
    </row>
    <row r="579" spans="1:5" ht="16.8" customHeight="true">
      <c r="A579" s="47" t="s">
        <v>1744</v>
      </c>
      <c r="B579" s="30" t="s">
        <v>373</v>
      </c>
      <c r="C579" s="30" t="s">
        <v>351</v>
      </c>
      <c r="D579" s="30" t="s">
        <v>1745</v>
      </c>
      <c r="E579" s="31" t="s">
        <v>1746</v>
      </c>
    </row>
    <row r="580" spans="1:5" ht="16.8" customHeight="true">
      <c r="A580" s="47" t="s">
        <v>704</v>
      </c>
      <c r="B580" s="30" t="s">
        <v>705</v>
      </c>
      <c r="C580" s="30" t="s">
        <v>819</v>
      </c>
      <c r="D580" s="30" t="s">
        <v>170</v>
      </c>
      <c r="E580" s="31" t="s">
        <v>1747</v>
      </c>
    </row>
    <row r="581" spans="1:5" ht="16.8" customHeight="true">
      <c r="A581" s="47" t="s">
        <v>1748</v>
      </c>
      <c r="B581" s="30" t="s">
        <v>1749</v>
      </c>
      <c r="C581" s="30" t="s">
        <v>263</v>
      </c>
      <c r="D581" s="30" t="s">
        <v>232</v>
      </c>
      <c r="E581" s="31" t="s">
        <v>1750</v>
      </c>
    </row>
    <row r="582" spans="1:5" ht="16.8" customHeight="true">
      <c r="A582" s="47" t="s">
        <v>1751</v>
      </c>
      <c r="B582" s="30" t="s">
        <v>1752</v>
      </c>
      <c r="C582" s="30" t="s">
        <v>797</v>
      </c>
      <c r="D582" s="30" t="s"/>
      <c r="E582" s="31" t="s">
        <v>1753</v>
      </c>
    </row>
    <row r="583" spans="1:5" ht="16.8" customHeight="true">
      <c r="A583" s="47" t="s">
        <v>1754</v>
      </c>
      <c r="B583" s="30" t="s">
        <v>1755</v>
      </c>
      <c r="C583" s="30" t="s">
        <v>165</v>
      </c>
      <c r="D583" s="30" t="s">
        <v>627</v>
      </c>
      <c r="E583" s="31" t="s">
        <v>1756</v>
      </c>
    </row>
    <row r="584" spans="1:5" ht="16.8" customHeight="true">
      <c r="A584" s="47" t="s">
        <v>1757</v>
      </c>
      <c r="B584" s="30" t="s">
        <v>1758</v>
      </c>
      <c r="C584" s="30" t="s">
        <v>165</v>
      </c>
      <c r="D584" s="30" t="s"/>
      <c r="E584" s="31" t="s">
        <v>1759</v>
      </c>
    </row>
    <row r="585" spans="1:5" ht="16.8" customHeight="true">
      <c r="A585" s="47" t="s">
        <v>1760</v>
      </c>
      <c r="B585" s="30" t="s">
        <v>1761</v>
      </c>
      <c r="C585" s="30" t="s">
        <v>797</v>
      </c>
      <c r="D585" s="30" t="s"/>
      <c r="E585" s="31" t="s">
        <v>1762</v>
      </c>
    </row>
    <row r="586" spans="1:5" ht="16.8" customHeight="true">
      <c r="A586" s="47" t="s">
        <v>1763</v>
      </c>
      <c r="B586" s="30" t="s">
        <v>1764</v>
      </c>
      <c r="C586" s="30" t="s">
        <v>165</v>
      </c>
      <c r="D586" s="30" t="s"/>
      <c r="E586" s="31" t="s">
        <v>1765</v>
      </c>
    </row>
    <row r="587" spans="1:5" ht="16.8" customHeight="true">
      <c r="A587" s="47" t="s">
        <v>1766</v>
      </c>
      <c r="B587" s="30" t="s">
        <v>1767</v>
      </c>
      <c r="C587" s="30" t="s">
        <v>165</v>
      </c>
      <c r="D587" s="30" t="s"/>
      <c r="E587" s="31" t="s">
        <v>1768</v>
      </c>
    </row>
    <row r="588" spans="1:5" ht="16.8" customHeight="true">
      <c r="A588" s="47" t="s">
        <v>1769</v>
      </c>
      <c r="B588" s="30" t="s">
        <v>1770</v>
      </c>
      <c r="C588" s="30" t="s">
        <v>165</v>
      </c>
      <c r="D588" s="30" t="s"/>
      <c r="E588" s="31" t="s">
        <v>1771</v>
      </c>
    </row>
    <row r="589" spans="1:5" ht="16.8" customHeight="true">
      <c r="A589" s="47" t="s">
        <v>1772</v>
      </c>
      <c r="B589" s="30" t="s">
        <v>1773</v>
      </c>
      <c r="C589" s="30" t="s">
        <v>165</v>
      </c>
      <c r="D589" s="30" t="s"/>
      <c r="E589" s="31" t="s">
        <v>1774</v>
      </c>
    </row>
    <row r="590" spans="1:5" ht="16.8" customHeight="true">
      <c r="A590" s="47" t="s">
        <v>1775</v>
      </c>
      <c r="B590" s="30" t="s">
        <v>1776</v>
      </c>
      <c r="C590" s="30" t="s">
        <v>165</v>
      </c>
      <c r="D590" s="30" t="s"/>
      <c r="E590" s="31" t="s">
        <v>1777</v>
      </c>
    </row>
    <row r="591" spans="1:5" ht="16.8" customHeight="true">
      <c r="A591" s="47" t="s">
        <v>1108</v>
      </c>
      <c r="B591" s="30" t="s">
        <v>1109</v>
      </c>
      <c r="C591" s="30" t="s">
        <v>165</v>
      </c>
      <c r="D591" s="30" t="s"/>
      <c r="E591" s="31" t="s">
        <v>1778</v>
      </c>
    </row>
    <row r="592" spans="1:5" ht="16.8" customHeight="true">
      <c r="A592" s="47" t="s">
        <v>1779</v>
      </c>
      <c r="B592" s="30" t="s">
        <v>1780</v>
      </c>
      <c r="C592" s="30" t="s">
        <v>702</v>
      </c>
      <c r="D592" s="30" t="s">
        <v>170</v>
      </c>
      <c r="E592" s="31" t="s">
        <v>1781</v>
      </c>
    </row>
    <row r="593" spans="1:5" ht="16.8" customHeight="true">
      <c r="A593" s="47" t="s">
        <v>1782</v>
      </c>
      <c r="B593" s="30" t="s">
        <v>385</v>
      </c>
      <c r="C593" s="30" t="s">
        <v>165</v>
      </c>
      <c r="D593" s="30" t="s"/>
      <c r="E593" s="31" t="s">
        <v>303</v>
      </c>
    </row>
    <row r="594" spans="1:5" ht="16.8" customHeight="true">
      <c r="A594" s="47" t="s">
        <v>1783</v>
      </c>
      <c r="B594" s="30" t="s">
        <v>1784</v>
      </c>
      <c r="C594" s="30" t="s">
        <v>236</v>
      </c>
      <c r="D594" s="30" t="s">
        <v>153</v>
      </c>
      <c r="E594" s="31" t="s">
        <v>1785</v>
      </c>
    </row>
    <row r="595" spans="1:5" ht="16.8" customHeight="true">
      <c r="A595" s="47" t="s">
        <v>1786</v>
      </c>
      <c r="B595" s="30" t="s">
        <v>1787</v>
      </c>
      <c r="C595" s="30" t="s">
        <v>165</v>
      </c>
      <c r="D595" s="30" t="s"/>
      <c r="E595" s="31" t="s">
        <v>1788</v>
      </c>
    </row>
    <row r="596" spans="1:5" ht="16.8" customHeight="true">
      <c r="A596" s="47" t="s">
        <v>981</v>
      </c>
      <c r="B596" s="30" t="s">
        <v>982</v>
      </c>
      <c r="C596" s="30" t="s">
        <v>165</v>
      </c>
      <c r="D596" s="30" t="s"/>
      <c r="E596" s="31" t="s">
        <v>220</v>
      </c>
    </row>
    <row r="597" spans="1:5" ht="16.8" customHeight="true">
      <c r="A597" s="47" t="s">
        <v>1789</v>
      </c>
      <c r="B597" s="30" t="s">
        <v>1790</v>
      </c>
      <c r="C597" s="30" t="s">
        <v>165</v>
      </c>
      <c r="D597" s="30" t="s"/>
      <c r="E597" s="31" t="s">
        <v>1791</v>
      </c>
    </row>
    <row r="598" spans="1:5" ht="16.8" customHeight="true">
      <c r="A598" s="47" t="s">
        <v>1792</v>
      </c>
      <c r="B598" s="30" t="s">
        <v>1793</v>
      </c>
      <c r="C598" s="30" t="s">
        <v>382</v>
      </c>
      <c r="D598" s="30" t="s">
        <v>232</v>
      </c>
      <c r="E598" s="31" t="s">
        <v>1794</v>
      </c>
    </row>
    <row r="599" spans="1:5" ht="16.8" customHeight="true">
      <c r="A599" s="47" t="s">
        <v>1795</v>
      </c>
      <c r="B599" s="30" t="s">
        <v>1796</v>
      </c>
      <c r="C599" s="30" t="s">
        <v>236</v>
      </c>
      <c r="D599" s="30" t="s"/>
      <c r="E599" s="31" t="s">
        <v>1797</v>
      </c>
    </row>
    <row r="600" spans="1:5" ht="16.8" customHeight="true">
      <c r="A600" s="47" t="s">
        <v>1798</v>
      </c>
      <c r="B600" s="30" t="s">
        <v>1799</v>
      </c>
      <c r="C600" s="30" t="s">
        <v>797</v>
      </c>
      <c r="D600" s="30" t="s"/>
      <c r="E600" s="31" t="s">
        <v>1800</v>
      </c>
    </row>
    <row r="601" spans="1:5" ht="16.8" customHeight="true">
      <c r="A601" s="47" t="s">
        <v>720</v>
      </c>
      <c r="B601" s="30" t="s">
        <v>721</v>
      </c>
      <c r="C601" s="30" t="s">
        <v>165</v>
      </c>
      <c r="D601" s="30" t="s"/>
      <c r="E601" s="31" t="s">
        <v>1801</v>
      </c>
    </row>
    <row r="602" spans="1:5" ht="16.8" customHeight="true">
      <c r="A602" s="47" t="s">
        <v>1802</v>
      </c>
      <c r="B602" s="30" t="s">
        <v>1803</v>
      </c>
      <c r="C602" s="30" t="s">
        <v>165</v>
      </c>
      <c r="D602" s="30" t="s"/>
      <c r="E602" s="31" t="s">
        <v>995</v>
      </c>
    </row>
    <row r="603" spans="1:5" ht="16.8" customHeight="true">
      <c r="A603" s="47" t="s">
        <v>1804</v>
      </c>
      <c r="B603" s="30" t="s">
        <v>1805</v>
      </c>
      <c r="C603" s="30" t="s">
        <v>165</v>
      </c>
      <c r="D603" s="30" t="s"/>
      <c r="E603" s="31" t="s">
        <v>1806</v>
      </c>
    </row>
    <row r="604" spans="1:5" ht="16.8" customHeight="true">
      <c r="A604" s="47" t="s">
        <v>1807</v>
      </c>
      <c r="B604" s="30" t="s">
        <v>1808</v>
      </c>
      <c r="C604" s="30" t="s">
        <v>165</v>
      </c>
      <c r="D604" s="30" t="s"/>
      <c r="E604" s="31" t="s">
        <v>1809</v>
      </c>
    </row>
    <row r="605" spans="1:5" ht="16.8" customHeight="true">
      <c r="A605" s="47" t="s">
        <v>441</v>
      </c>
      <c r="B605" s="30" t="s">
        <v>442</v>
      </c>
      <c r="C605" s="30" t="s">
        <v>1110</v>
      </c>
      <c r="D605" s="30" t="s">
        <v>1810</v>
      </c>
      <c r="E605" s="31" t="s">
        <v>1811</v>
      </c>
    </row>
    <row r="606" spans="1:5" ht="16.8" customHeight="true">
      <c r="A606" s="47" t="s">
        <v>1812</v>
      </c>
      <c r="B606" s="30" t="s">
        <v>1813</v>
      </c>
      <c r="C606" s="30" t="s">
        <v>165</v>
      </c>
      <c r="D606" s="30" t="s"/>
      <c r="E606" s="31" t="s">
        <v>1814</v>
      </c>
    </row>
    <row r="607" spans="1:5" ht="16.8" customHeight="true">
      <c r="A607" s="47" t="s">
        <v>1815</v>
      </c>
      <c r="B607" s="30" t="s">
        <v>1816</v>
      </c>
      <c r="C607" s="30" t="s">
        <v>165</v>
      </c>
      <c r="D607" s="30" t="s"/>
      <c r="E607" s="31" t="s">
        <v>1817</v>
      </c>
    </row>
    <row r="608" spans="1:5" ht="16.8" customHeight="true">
      <c r="A608" s="47" t="s">
        <v>1818</v>
      </c>
      <c r="B608" s="30" t="s">
        <v>1819</v>
      </c>
      <c r="C608" s="30" t="s">
        <v>165</v>
      </c>
      <c r="D608" s="30" t="s"/>
      <c r="E608" s="31" t="s">
        <v>1820</v>
      </c>
    </row>
    <row r="609" spans="1:5" ht="16.8" customHeight="true">
      <c r="A609" s="47" t="s">
        <v>1821</v>
      </c>
      <c r="B609" s="30" t="s">
        <v>1822</v>
      </c>
      <c r="C609" s="30" t="s">
        <v>165</v>
      </c>
      <c r="D609" s="30" t="s"/>
      <c r="E609" s="31" t="s">
        <v>1823</v>
      </c>
    </row>
    <row r="610" spans="1:5" ht="16.8" customHeight="true">
      <c r="A610" s="47" t="s">
        <v>1824</v>
      </c>
      <c r="B610" s="30" t="s">
        <v>1825</v>
      </c>
      <c r="C610" s="30" t="s">
        <v>165</v>
      </c>
      <c r="D610" s="30" t="s"/>
      <c r="E610" s="31" t="s">
        <v>1826</v>
      </c>
    </row>
    <row r="611" spans="1:5" ht="16.8" customHeight="true">
      <c r="A611" s="47" t="s">
        <v>1462</v>
      </c>
      <c r="B611" s="30" t="s">
        <v>1463</v>
      </c>
      <c r="C611" s="30" t="s">
        <v>165</v>
      </c>
      <c r="D611" s="30" t="s"/>
      <c r="E611" s="31" t="s">
        <v>1827</v>
      </c>
    </row>
    <row r="612" spans="1:5" ht="16.8" customHeight="true">
      <c r="A612" s="47" t="s">
        <v>1828</v>
      </c>
      <c r="B612" s="30" t="s">
        <v>1829</v>
      </c>
      <c r="C612" s="30" t="s">
        <v>165</v>
      </c>
      <c r="D612" s="30" t="s"/>
      <c r="E612" s="31" t="s">
        <v>1830</v>
      </c>
    </row>
    <row r="613" spans="1:5" ht="16.8" customHeight="true">
      <c r="A613" s="47" t="s">
        <v>1831</v>
      </c>
      <c r="B613" s="30" t="s">
        <v>1832</v>
      </c>
      <c r="C613" s="30" t="s">
        <v>165</v>
      </c>
      <c r="D613" s="30" t="s"/>
      <c r="E613" s="31" t="s">
        <v>1833</v>
      </c>
    </row>
    <row r="614" spans="1:5" ht="16.8" customHeight="true">
      <c r="A614" s="47" t="s">
        <v>1565</v>
      </c>
      <c r="B614" s="30" t="s">
        <v>1566</v>
      </c>
      <c r="C614" s="30" t="s">
        <v>165</v>
      </c>
      <c r="D614" s="30" t="s"/>
      <c r="E614" s="31" t="s">
        <v>1834</v>
      </c>
    </row>
    <row r="615" spans="1:5" ht="16.8" customHeight="true">
      <c r="A615" s="47" t="s">
        <v>1835</v>
      </c>
      <c r="B615" s="30" t="s">
        <v>1836</v>
      </c>
      <c r="C615" s="30" t="s">
        <v>165</v>
      </c>
      <c r="D615" s="30" t="s"/>
      <c r="E615" s="31" t="s">
        <v>1837</v>
      </c>
    </row>
    <row r="616" spans="1:5" ht="16.8" customHeight="true">
      <c r="A616" s="47" t="s">
        <v>1838</v>
      </c>
      <c r="B616" s="30" t="s">
        <v>1839</v>
      </c>
      <c r="C616" s="30" t="s">
        <v>236</v>
      </c>
      <c r="D616" s="30" t="s">
        <v>153</v>
      </c>
      <c r="E616" s="31" t="s">
        <v>1840</v>
      </c>
    </row>
    <row r="617" spans="1:5" ht="16.8" customHeight="true">
      <c r="A617" s="47" t="s">
        <v>1841</v>
      </c>
      <c r="B617" s="30" t="s">
        <v>1842</v>
      </c>
      <c r="C617" s="30" t="s">
        <v>165</v>
      </c>
      <c r="D617" s="30" t="s"/>
      <c r="E617" s="31" t="s">
        <v>1843</v>
      </c>
    </row>
    <row r="618" spans="1:5" ht="16.8" customHeight="true">
      <c r="A618" s="47" t="s">
        <v>1844</v>
      </c>
      <c r="B618" s="30" t="s">
        <v>1845</v>
      </c>
      <c r="C618" s="30" t="s">
        <v>165</v>
      </c>
      <c r="D618" s="30" t="s"/>
      <c r="E618" s="31" t="s">
        <v>1846</v>
      </c>
    </row>
    <row r="619" spans="1:5" ht="16.8" customHeight="true">
      <c r="A619" s="47" t="s">
        <v>1847</v>
      </c>
      <c r="B619" s="30" t="s">
        <v>1848</v>
      </c>
      <c r="C619" s="30" t="s">
        <v>152</v>
      </c>
      <c r="D619" s="30" t="s">
        <v>170</v>
      </c>
      <c r="E619" s="31" t="s">
        <v>1849</v>
      </c>
    </row>
    <row r="620" spans="1:5" ht="16.8" customHeight="true">
      <c r="A620" s="47" t="s">
        <v>1850</v>
      </c>
      <c r="B620" s="30" t="s">
        <v>1851</v>
      </c>
      <c r="C620" s="30" t="s">
        <v>165</v>
      </c>
      <c r="D620" s="30" t="s">
        <v>170</v>
      </c>
      <c r="E620" s="31" t="s">
        <v>1852</v>
      </c>
    </row>
    <row r="621" spans="1:5" ht="16.8" customHeight="true">
      <c r="A621" s="47" t="s">
        <v>1853</v>
      </c>
      <c r="B621" s="30" t="s">
        <v>1854</v>
      </c>
      <c r="C621" s="30" t="s">
        <v>165</v>
      </c>
      <c r="D621" s="30" t="s"/>
      <c r="E621" s="31" t="s">
        <v>1855</v>
      </c>
    </row>
    <row r="622" spans="1:5" ht="16.8" customHeight="true">
      <c r="A622" s="47" t="s">
        <v>1856</v>
      </c>
      <c r="B622" s="30" t="s">
        <v>1857</v>
      </c>
      <c r="C622" s="30" t="s">
        <v>165</v>
      </c>
      <c r="D622" s="30" t="s"/>
      <c r="E622" s="31" t="s">
        <v>1858</v>
      </c>
    </row>
    <row r="623" spans="1:5" ht="16.8" customHeight="true">
      <c r="A623" s="47" t="s">
        <v>2769</v>
      </c>
      <c r="B623" s="30" t="s">
        <v>186</v>
      </c>
      <c r="C623" s="30" t="s">
        <v>152</v>
      </c>
      <c r="D623" s="30" t="s">
        <v>1077</v>
      </c>
      <c r="E623" s="31" t="s">
        <v>1859</v>
      </c>
    </row>
    <row r="624" spans="1:5" ht="16.8" customHeight="true">
      <c r="A624" s="47" t="s">
        <v>259</v>
      </c>
      <c r="B624" s="30" t="s">
        <v>1860</v>
      </c>
      <c r="C624" s="30" t="s">
        <v>702</v>
      </c>
      <c r="D624" s="30" t="s">
        <v>153</v>
      </c>
      <c r="E624" s="31" t="s">
        <v>1861</v>
      </c>
    </row>
    <row r="625" spans="1:5" ht="16.8" customHeight="true">
      <c r="A625" s="47" t="s">
        <v>1862</v>
      </c>
      <c r="B625" s="30" t="s">
        <v>1863</v>
      </c>
      <c r="C625" s="30" t="s">
        <v>484</v>
      </c>
      <c r="D625" s="30" t="s">
        <v>153</v>
      </c>
      <c r="E625" s="31" t="s">
        <v>1864</v>
      </c>
    </row>
    <row r="626" spans="1:5" ht="16.8" customHeight="true">
      <c r="A626" s="47" t="s">
        <v>1865</v>
      </c>
      <c r="B626" s="30" t="s">
        <v>1866</v>
      </c>
      <c r="C626" s="30" t="s">
        <v>169</v>
      </c>
      <c r="D626" s="30" t="s">
        <v>153</v>
      </c>
      <c r="E626" s="31" t="s">
        <v>1867</v>
      </c>
    </row>
    <row r="627" spans="1:5" ht="16.8" customHeight="true">
      <c r="A627" s="47" t="s">
        <v>1868</v>
      </c>
      <c r="B627" s="30" t="s">
        <v>1869</v>
      </c>
      <c r="C627" s="30" t="s">
        <v>165</v>
      </c>
      <c r="D627" s="30" t="s"/>
      <c r="E627" s="31" t="s">
        <v>1870</v>
      </c>
    </row>
    <row r="628" spans="1:5" ht="16.8" customHeight="true">
      <c r="A628" s="47" t="s">
        <v>1871</v>
      </c>
      <c r="B628" s="30" t="s">
        <v>1872</v>
      </c>
      <c r="C628" s="30" t="s">
        <v>165</v>
      </c>
      <c r="D628" s="30" t="s"/>
      <c r="E628" s="31" t="s">
        <v>303</v>
      </c>
    </row>
    <row r="629" spans="1:5" ht="16.8" customHeight="true">
      <c r="A629" s="47" t="s">
        <v>1873</v>
      </c>
      <c r="B629" s="30" t="s">
        <v>1874</v>
      </c>
      <c r="C629" s="30" t="s">
        <v>165</v>
      </c>
      <c r="D629" s="30" t="s"/>
      <c r="E629" s="31" t="s">
        <v>1875</v>
      </c>
    </row>
    <row r="630" spans="1:5" ht="16.8" customHeight="true">
      <c r="A630" s="47" t="s">
        <v>2770</v>
      </c>
      <c r="B630" s="30" t="s">
        <v>1876</v>
      </c>
      <c r="C630" s="30" t="s">
        <v>165</v>
      </c>
      <c r="D630" s="30" t="s"/>
      <c r="E630" s="31" t="s">
        <v>1877</v>
      </c>
    </row>
    <row r="631" spans="1:5" ht="16.8" customHeight="true">
      <c r="A631" s="47" t="s">
        <v>1878</v>
      </c>
      <c r="B631" s="30" t="s">
        <v>373</v>
      </c>
      <c r="C631" s="30" t="s">
        <v>797</v>
      </c>
      <c r="D631" s="30" t="s"/>
      <c r="E631" s="31" t="s">
        <v>1879</v>
      </c>
    </row>
    <row r="632" spans="1:5" ht="16.8" customHeight="true">
      <c r="A632" s="47" t="s">
        <v>1880</v>
      </c>
      <c r="B632" s="30" t="s">
        <v>1881</v>
      </c>
      <c r="C632" s="30" t="s">
        <v>165</v>
      </c>
      <c r="D632" s="30" t="s"/>
      <c r="E632" s="31" t="s">
        <v>1882</v>
      </c>
    </row>
    <row r="633" spans="1:5" ht="16.8" customHeight="true">
      <c r="A633" s="47" t="s">
        <v>1883</v>
      </c>
      <c r="B633" s="30" t="s">
        <v>1884</v>
      </c>
      <c r="C633" s="30" t="s">
        <v>165</v>
      </c>
      <c r="D633" s="30" t="s"/>
      <c r="E633" s="31" t="s">
        <v>1275</v>
      </c>
    </row>
    <row r="634" spans="1:5" ht="16.8" customHeight="true">
      <c r="A634" s="47" t="s">
        <v>1885</v>
      </c>
      <c r="B634" s="30" t="s">
        <v>1886</v>
      </c>
      <c r="C634" s="30" t="s">
        <v>165</v>
      </c>
      <c r="D634" s="30" t="s"/>
      <c r="E634" s="31" t="s">
        <v>1887</v>
      </c>
    </row>
    <row r="635" spans="1:5" ht="16.8" customHeight="true">
      <c r="A635" s="47" t="s">
        <v>1888</v>
      </c>
      <c r="B635" s="30" t="s">
        <v>1889</v>
      </c>
      <c r="C635" s="30" t="s">
        <v>165</v>
      </c>
      <c r="D635" s="30" t="s"/>
      <c r="E635" s="31" t="s">
        <v>1890</v>
      </c>
    </row>
    <row r="636" spans="1:5" ht="16.8" customHeight="true">
      <c r="A636" s="47" t="s">
        <v>605</v>
      </c>
      <c r="B636" s="30" t="s">
        <v>1891</v>
      </c>
      <c r="C636" s="30" t="s">
        <v>263</v>
      </c>
      <c r="D636" s="30" t="s">
        <v>1248</v>
      </c>
      <c r="E636" s="31" t="s">
        <v>1892</v>
      </c>
    </row>
    <row r="637" spans="1:5" ht="16.8" customHeight="true">
      <c r="A637" s="47" t="s">
        <v>1893</v>
      </c>
      <c r="B637" s="30" t="s">
        <v>1894</v>
      </c>
      <c r="C637" s="30" t="s">
        <v>165</v>
      </c>
      <c r="D637" s="30" t="s"/>
      <c r="E637" s="31" t="s">
        <v>1895</v>
      </c>
    </row>
    <row r="638" spans="1:5" ht="16.8" customHeight="true">
      <c r="A638" s="47" t="s">
        <v>1896</v>
      </c>
      <c r="B638" s="30" t="s">
        <v>373</v>
      </c>
      <c r="C638" s="30" t="s">
        <v>797</v>
      </c>
      <c r="D638" s="30" t="s"/>
      <c r="E638" s="31" t="s">
        <v>1105</v>
      </c>
    </row>
    <row r="639" spans="1:5" ht="16.8" customHeight="true">
      <c r="A639" s="47" t="s">
        <v>1897</v>
      </c>
      <c r="B639" s="30" t="s">
        <v>832</v>
      </c>
      <c r="C639" s="30" t="s">
        <v>165</v>
      </c>
      <c r="D639" s="30" t="s"/>
      <c r="E639" s="31" t="s">
        <v>1898</v>
      </c>
    </row>
    <row r="640" spans="1:5" ht="16.8" customHeight="true">
      <c r="A640" s="47" t="s">
        <v>1899</v>
      </c>
      <c r="B640" s="30" t="s">
        <v>1900</v>
      </c>
      <c r="C640" s="30" t="s">
        <v>165</v>
      </c>
      <c r="D640" s="30" t="s"/>
      <c r="E640" s="31" t="s">
        <v>1901</v>
      </c>
    </row>
    <row r="641" spans="1:5" ht="16.8" customHeight="true">
      <c r="A641" s="47" t="s">
        <v>1902</v>
      </c>
      <c r="B641" s="30" t="s">
        <v>1903</v>
      </c>
      <c r="C641" s="30" t="s">
        <v>165</v>
      </c>
      <c r="D641" s="30" t="s"/>
      <c r="E641" s="31" t="s">
        <v>1904</v>
      </c>
    </row>
    <row r="642" spans="1:5" ht="16.8" customHeight="true">
      <c r="A642" s="47" t="s">
        <v>2771</v>
      </c>
      <c r="B642" s="30" t="s">
        <v>1905</v>
      </c>
      <c r="C642" s="30" t="s">
        <v>165</v>
      </c>
      <c r="D642" s="30" t="s"/>
      <c r="E642" s="31" t="s">
        <v>1906</v>
      </c>
    </row>
    <row r="643" spans="1:5" ht="16.8" customHeight="true">
      <c r="A643" s="47" t="s">
        <v>2772</v>
      </c>
      <c r="B643" s="30" t="s">
        <v>1907</v>
      </c>
      <c r="C643" s="30" t="s">
        <v>236</v>
      </c>
      <c r="D643" s="30" t="s">
        <v>485</v>
      </c>
      <c r="E643" s="31" t="s">
        <v>1908</v>
      </c>
    </row>
    <row r="644" spans="1:5" ht="16.8" customHeight="true">
      <c r="A644" s="47" t="s">
        <v>1909</v>
      </c>
      <c r="B644" s="30" t="s">
        <v>1910</v>
      </c>
      <c r="C644" s="30" t="s">
        <v>443</v>
      </c>
      <c r="D644" s="30" t="s">
        <v>232</v>
      </c>
      <c r="E644" s="31" t="s">
        <v>1911</v>
      </c>
    </row>
    <row r="645" spans="1:5" ht="16.8" customHeight="true">
      <c r="A645" s="47" t="s">
        <v>1912</v>
      </c>
      <c r="B645" s="30" t="s">
        <v>1913</v>
      </c>
      <c r="C645" s="30" t="s">
        <v>165</v>
      </c>
      <c r="D645" s="30" t="s"/>
      <c r="E645" s="31" t="s">
        <v>1914</v>
      </c>
    </row>
    <row r="646" spans="1:5" ht="16.8" customHeight="true">
      <c r="A646" s="47" t="s">
        <v>2773</v>
      </c>
      <c r="B646" s="30" t="s">
        <v>1915</v>
      </c>
      <c r="C646" s="30" t="s">
        <v>165</v>
      </c>
      <c r="D646" s="30" t="s"/>
      <c r="E646" s="31" t="s">
        <v>1916</v>
      </c>
    </row>
    <row r="647" spans="1:5" ht="16.8" customHeight="true">
      <c r="A647" s="47" t="s">
        <v>811</v>
      </c>
      <c r="B647" s="30" t="s">
        <v>182</v>
      </c>
      <c r="C647" s="30" t="s">
        <v>165</v>
      </c>
      <c r="D647" s="30" t="s"/>
      <c r="E647" s="31" t="s">
        <v>1917</v>
      </c>
    </row>
    <row r="648" spans="1:5" ht="16.8" customHeight="true">
      <c r="A648" s="47" t="s">
        <v>1918</v>
      </c>
      <c r="B648" s="30" t="s">
        <v>1919</v>
      </c>
      <c r="C648" s="30" t="s">
        <v>236</v>
      </c>
      <c r="D648" s="30" t="s">
        <v>153</v>
      </c>
      <c r="E648" s="31" t="s">
        <v>1920</v>
      </c>
    </row>
    <row r="649" spans="1:5" ht="16.8" customHeight="true">
      <c r="A649" s="47" t="s">
        <v>1921</v>
      </c>
      <c r="B649" s="30" t="s">
        <v>1922</v>
      </c>
      <c r="C649" s="30" t="s">
        <v>165</v>
      </c>
      <c r="D649" s="30" t="s"/>
      <c r="E649" s="31" t="s">
        <v>1923</v>
      </c>
    </row>
    <row r="650" spans="1:5" ht="16.8" customHeight="true">
      <c r="A650" s="47" t="s">
        <v>1924</v>
      </c>
      <c r="B650" s="30" t="s">
        <v>1925</v>
      </c>
      <c r="C650" s="30" t="s">
        <v>152</v>
      </c>
      <c r="D650" s="30" t="s">
        <v>157</v>
      </c>
      <c r="E650" s="31" t="s">
        <v>1926</v>
      </c>
    </row>
    <row r="651" spans="1:5" ht="16.8" customHeight="true">
      <c r="A651" s="47" t="s">
        <v>1927</v>
      </c>
      <c r="B651" s="30" t="s">
        <v>1928</v>
      </c>
      <c r="C651" s="30" t="s">
        <v>165</v>
      </c>
      <c r="D651" s="30" t="s"/>
      <c r="E651" s="31" t="s">
        <v>1034</v>
      </c>
    </row>
    <row r="652" spans="1:5" ht="16.8" customHeight="true">
      <c r="A652" s="47" t="s">
        <v>1929</v>
      </c>
      <c r="B652" s="30" t="s">
        <v>1930</v>
      </c>
      <c r="C652" s="30" t="s">
        <v>165</v>
      </c>
      <c r="D652" s="30" t="s"/>
      <c r="E652" s="31" t="s">
        <v>1931</v>
      </c>
    </row>
    <row r="653" spans="1:5" ht="16.8" customHeight="true">
      <c r="A653" s="47" t="s">
        <v>1932</v>
      </c>
      <c r="B653" s="30" t="s">
        <v>1933</v>
      </c>
      <c r="C653" s="30" t="s">
        <v>165</v>
      </c>
      <c r="D653" s="30" t="s"/>
      <c r="E653" s="31" t="s">
        <v>1934</v>
      </c>
    </row>
    <row r="654" spans="1:5" ht="16.8" customHeight="true">
      <c r="A654" s="47" t="s">
        <v>1935</v>
      </c>
      <c r="B654" s="30" t="s">
        <v>1936</v>
      </c>
      <c r="C654" s="30" t="s">
        <v>165</v>
      </c>
      <c r="D654" s="30" t="s"/>
      <c r="E654" s="31" t="s">
        <v>1316</v>
      </c>
    </row>
    <row r="655" spans="1:5" ht="16.8" customHeight="true">
      <c r="A655" s="47" t="s">
        <v>1937</v>
      </c>
      <c r="B655" s="30" t="s">
        <v>1938</v>
      </c>
      <c r="C655" s="30" t="s">
        <v>165</v>
      </c>
      <c r="D655" s="30" t="s"/>
      <c r="E655" s="31" t="s">
        <v>1939</v>
      </c>
    </row>
    <row r="656" spans="1:5" ht="16.8" customHeight="true">
      <c r="A656" s="47" t="s">
        <v>1940</v>
      </c>
      <c r="B656" s="30" t="s">
        <v>1941</v>
      </c>
      <c r="C656" s="30" t="s">
        <v>165</v>
      </c>
      <c r="D656" s="30" t="s"/>
      <c r="E656" s="31" t="s">
        <v>1942</v>
      </c>
    </row>
    <row r="657" spans="1:5" ht="16.8" customHeight="true">
      <c r="A657" s="47" t="s">
        <v>1943</v>
      </c>
      <c r="B657" s="30" t="s">
        <v>1944</v>
      </c>
      <c r="C657" s="30" t="s">
        <v>165</v>
      </c>
      <c r="D657" s="30" t="s"/>
      <c r="E657" s="31" t="s">
        <v>1945</v>
      </c>
    </row>
    <row r="658" spans="1:5" ht="16.8" customHeight="true">
      <c r="A658" s="47" t="s">
        <v>1946</v>
      </c>
      <c r="B658" s="30" t="s">
        <v>1947</v>
      </c>
      <c r="C658" s="30" t="s">
        <v>236</v>
      </c>
      <c r="D658" s="30" t="s">
        <v>153</v>
      </c>
      <c r="E658" s="31" t="s">
        <v>1948</v>
      </c>
    </row>
    <row r="659" spans="1:5" ht="16.8" customHeight="true">
      <c r="A659" s="47" t="s">
        <v>1949</v>
      </c>
      <c r="B659" s="30" t="s">
        <v>1950</v>
      </c>
      <c r="C659" s="30" t="s">
        <v>165</v>
      </c>
      <c r="D659" s="30" t="s"/>
      <c r="E659" s="31" t="s">
        <v>1951</v>
      </c>
    </row>
    <row r="660" spans="1:5" ht="16.8" customHeight="true">
      <c r="A660" s="47" t="s">
        <v>1952</v>
      </c>
      <c r="B660" s="30" t="s">
        <v>1410</v>
      </c>
      <c r="C660" s="30" t="s">
        <v>236</v>
      </c>
      <c r="D660" s="30" t="s">
        <v>148</v>
      </c>
      <c r="E660" s="31" t="s">
        <v>1953</v>
      </c>
    </row>
    <row r="661" spans="1:5" ht="16.8" customHeight="true">
      <c r="A661" s="47" t="s">
        <v>1954</v>
      </c>
      <c r="B661" s="30" t="s">
        <v>1955</v>
      </c>
      <c r="C661" s="30" t="s">
        <v>165</v>
      </c>
      <c r="D661" s="30" t="s"/>
      <c r="E661" s="31" t="s">
        <v>1060</v>
      </c>
    </row>
    <row r="662" spans="1:5" ht="16.8" customHeight="true">
      <c r="A662" s="47" t="s">
        <v>1956</v>
      </c>
      <c r="B662" s="30" t="s">
        <v>1957</v>
      </c>
      <c r="C662" s="30" t="s">
        <v>165</v>
      </c>
      <c r="D662" s="30" t="s">
        <v>170</v>
      </c>
      <c r="E662" s="31" t="s">
        <v>1958</v>
      </c>
    </row>
    <row r="663" spans="1:5" ht="16.8" customHeight="true">
      <c r="A663" s="47" t="s">
        <v>1959</v>
      </c>
      <c r="B663" s="30" t="s">
        <v>1960</v>
      </c>
      <c r="C663" s="30" t="s">
        <v>165</v>
      </c>
      <c r="D663" s="30" t="s"/>
      <c r="E663" s="31" t="s">
        <v>1961</v>
      </c>
    </row>
    <row r="664" spans="1:5" ht="16.8" customHeight="true">
      <c r="A664" s="47" t="s">
        <v>1962</v>
      </c>
      <c r="B664" s="30" t="s">
        <v>1963</v>
      </c>
      <c r="C664" s="30" t="s">
        <v>263</v>
      </c>
      <c r="D664" s="30" t="s">
        <v>153</v>
      </c>
      <c r="E664" s="31" t="s">
        <v>1964</v>
      </c>
    </row>
    <row r="665" spans="1:5" ht="16.8" customHeight="true">
      <c r="A665" s="47" t="s">
        <v>1965</v>
      </c>
      <c r="B665" s="30" t="s">
        <v>1966</v>
      </c>
      <c r="C665" s="30" t="s">
        <v>165</v>
      </c>
      <c r="D665" s="30" t="s"/>
      <c r="E665" s="31" t="s">
        <v>1967</v>
      </c>
    </row>
    <row r="666" spans="1:5" ht="16.8" customHeight="true">
      <c r="A666" s="47" t="s">
        <v>1968</v>
      </c>
      <c r="B666" s="30" t="s">
        <v>1969</v>
      </c>
      <c r="C666" s="30" t="s">
        <v>443</v>
      </c>
      <c r="D666" s="30" t="s">
        <v>918</v>
      </c>
      <c r="E666" s="31" t="s">
        <v>1970</v>
      </c>
    </row>
    <row r="667" spans="1:5" ht="16.8" customHeight="true">
      <c r="A667" s="47" t="s">
        <v>1971</v>
      </c>
      <c r="B667" s="30" t="s">
        <v>832</v>
      </c>
      <c r="C667" s="30" t="s">
        <v>165</v>
      </c>
      <c r="D667" s="30" t="s"/>
      <c r="E667" s="31" t="s">
        <v>1972</v>
      </c>
    </row>
    <row r="668" spans="1:5" ht="16.8" customHeight="true">
      <c r="A668" s="47" t="s">
        <v>1973</v>
      </c>
      <c r="B668" s="30" t="s">
        <v>1974</v>
      </c>
      <c r="C668" s="30" t="s">
        <v>165</v>
      </c>
      <c r="D668" s="30" t="s">
        <v>232</v>
      </c>
      <c r="E668" s="31" t="s">
        <v>1975</v>
      </c>
    </row>
    <row r="669" spans="1:5" ht="16.8" customHeight="true">
      <c r="A669" s="47" t="s">
        <v>1976</v>
      </c>
      <c r="B669" s="30" t="s">
        <v>1977</v>
      </c>
      <c r="C669" s="30" t="s">
        <v>165</v>
      </c>
      <c r="D669" s="30" t="s"/>
      <c r="E669" s="31" t="s">
        <v>1978</v>
      </c>
    </row>
    <row r="670" spans="1:5" ht="16.8" customHeight="true">
      <c r="A670" s="47" t="s">
        <v>1979</v>
      </c>
      <c r="B670" s="30" t="s">
        <v>1980</v>
      </c>
      <c r="C670" s="30" t="s">
        <v>165</v>
      </c>
      <c r="D670" s="30" t="s"/>
      <c r="E670" s="31" t="s">
        <v>1981</v>
      </c>
    </row>
    <row r="671" spans="1:5" ht="16.8" customHeight="true">
      <c r="A671" s="47" t="s">
        <v>1982</v>
      </c>
      <c r="B671" s="30" t="s">
        <v>1983</v>
      </c>
      <c r="C671" s="30" t="s">
        <v>263</v>
      </c>
      <c r="D671" s="30" t="s">
        <v>170</v>
      </c>
      <c r="E671" s="31" t="s">
        <v>1984</v>
      </c>
    </row>
    <row r="672" spans="1:5" ht="16.8" customHeight="true">
      <c r="A672" s="47" t="s">
        <v>1985</v>
      </c>
      <c r="B672" s="30" t="s">
        <v>182</v>
      </c>
      <c r="C672" s="30" t="s">
        <v>165</v>
      </c>
      <c r="D672" s="30" t="s"/>
      <c r="E672" s="31" t="s">
        <v>1986</v>
      </c>
    </row>
    <row r="673" spans="1:5" ht="16.8" customHeight="true">
      <c r="A673" s="47" t="s">
        <v>1987</v>
      </c>
      <c r="B673" s="30" t="s">
        <v>1988</v>
      </c>
      <c r="C673" s="30" t="s">
        <v>165</v>
      </c>
      <c r="D673" s="30" t="s"/>
      <c r="E673" s="31" t="s">
        <v>1989</v>
      </c>
    </row>
    <row r="674" spans="1:5" ht="16.8" customHeight="true">
      <c r="A674" s="47" t="s">
        <v>1990</v>
      </c>
      <c r="B674" s="30" t="s">
        <v>1991</v>
      </c>
      <c r="C674" s="30" t="s">
        <v>165</v>
      </c>
      <c r="D674" s="30" t="s"/>
      <c r="E674" s="31" t="s">
        <v>1992</v>
      </c>
    </row>
    <row r="675" spans="1:5" ht="16.8" customHeight="true">
      <c r="A675" s="47" t="s">
        <v>1993</v>
      </c>
      <c r="B675" s="30" t="s">
        <v>1994</v>
      </c>
      <c r="C675" s="30" t="s">
        <v>165</v>
      </c>
      <c r="D675" s="30" t="s"/>
      <c r="E675" s="31" t="s">
        <v>1995</v>
      </c>
    </row>
    <row r="676" spans="1:5" ht="16.8" customHeight="true">
      <c r="A676" s="47" t="s">
        <v>1996</v>
      </c>
      <c r="B676" s="30" t="s">
        <v>1997</v>
      </c>
      <c r="C676" s="30" t="s">
        <v>165</v>
      </c>
      <c r="D676" s="30" t="s"/>
      <c r="E676" s="31" t="s">
        <v>1998</v>
      </c>
    </row>
    <row r="677" spans="1:5" ht="16.8" customHeight="true">
      <c r="A677" s="47" t="s">
        <v>1999</v>
      </c>
      <c r="B677" s="30" t="s">
        <v>2000</v>
      </c>
      <c r="C677" s="30" t="s">
        <v>165</v>
      </c>
      <c r="D677" s="30" t="s"/>
      <c r="E677" s="31" t="s">
        <v>2001</v>
      </c>
    </row>
    <row r="678" spans="1:5" ht="16.8" customHeight="true">
      <c r="A678" s="47" t="s">
        <v>2002</v>
      </c>
      <c r="B678" s="30" t="s">
        <v>2003</v>
      </c>
      <c r="C678" s="30" t="s">
        <v>165</v>
      </c>
      <c r="D678" s="30" t="s"/>
      <c r="E678" s="31" t="s">
        <v>1046</v>
      </c>
    </row>
    <row r="679" spans="1:5" ht="16.8" customHeight="true">
      <c r="A679" s="47" t="s">
        <v>2004</v>
      </c>
      <c r="B679" s="30" t="s">
        <v>2005</v>
      </c>
      <c r="C679" s="30" t="s">
        <v>165</v>
      </c>
      <c r="D679" s="30" t="s"/>
      <c r="E679" s="31" t="s">
        <v>2006</v>
      </c>
    </row>
    <row r="680" spans="1:5" ht="16.8" customHeight="true">
      <c r="A680" s="47" t="s">
        <v>2007</v>
      </c>
      <c r="B680" s="30" t="s">
        <v>2008</v>
      </c>
      <c r="C680" s="30" t="s">
        <v>165</v>
      </c>
      <c r="D680" s="30" t="s"/>
      <c r="E680" s="31" t="s">
        <v>2009</v>
      </c>
    </row>
    <row r="681" spans="1:5" ht="16.8" customHeight="true">
      <c r="A681" s="47" t="s">
        <v>2010</v>
      </c>
      <c r="B681" s="30" t="s">
        <v>2011</v>
      </c>
      <c r="C681" s="30" t="s">
        <v>165</v>
      </c>
      <c r="D681" s="30" t="s"/>
      <c r="E681" s="31" t="s">
        <v>2012</v>
      </c>
    </row>
    <row r="682" spans="1:26" ht="16.8" customHeight="true">
      <c r="A682" s="47" t="s">
        <v>375</v>
      </c>
      <c r="B682" s="30" t="s">
        <v>376</v>
      </c>
      <c r="C682" s="30" t="s">
        <v>165</v>
      </c>
      <c r="D682" s="30" t="s"/>
      <c r="E682" s="31" t="s">
        <v>1316</v>
      </c>
      <c r="F682" s="53" t="s"/>
      <c r="G682" s="53" t="s"/>
      <c r="H682" s="53" t="s"/>
      <c r="I682" s="53" t="s"/>
      <c r="J682" s="53" t="s"/>
      <c r="K682" s="53" t="s"/>
      <c r="L682" s="53" t="s"/>
      <c r="M682" s="53" t="s"/>
      <c r="N682" s="53" t="s"/>
      <c r="O682" s="53" t="s"/>
      <c r="P682" s="53" t="s"/>
      <c r="Q682" s="53" t="s"/>
      <c r="R682" s="53" t="s"/>
      <c r="S682" s="53" t="s"/>
      <c r="T682" s="53" t="s"/>
      <c r="U682" s="53" t="s"/>
      <c r="V682" s="53" t="s"/>
      <c r="W682" s="53" t="s"/>
      <c r="X682" s="53" t="s"/>
      <c r="Y682" s="53" t="s"/>
      <c r="Z682" s="53" t="s"/>
    </row>
    <row r="683" spans="1:5" ht="16.8" customHeight="true">
      <c r="A683" s="47" t="s">
        <v>2013</v>
      </c>
      <c r="B683" s="30" t="s">
        <v>2014</v>
      </c>
      <c r="C683" s="30" t="s">
        <v>165</v>
      </c>
      <c r="D683" s="30" t="s"/>
      <c r="E683" s="31" t="s">
        <v>2015</v>
      </c>
    </row>
    <row r="684" spans="1:5" ht="16.8" customHeight="true">
      <c r="A684" s="47" t="s">
        <v>2016</v>
      </c>
      <c r="B684" s="30" t="s">
        <v>2017</v>
      </c>
      <c r="C684" s="30" t="s">
        <v>165</v>
      </c>
      <c r="D684" s="30" t="s"/>
      <c r="E684" s="31" t="s">
        <v>2018</v>
      </c>
    </row>
    <row r="685" spans="1:5" ht="16.8" customHeight="true">
      <c r="A685" s="47" t="s">
        <v>2774</v>
      </c>
      <c r="B685" s="30" t="s">
        <v>534</v>
      </c>
      <c r="C685" s="30" t="s">
        <v>165</v>
      </c>
      <c r="D685" s="30" t="s">
        <v>148</v>
      </c>
      <c r="E685" s="31" t="s">
        <v>2019</v>
      </c>
    </row>
    <row r="686" spans="1:5" ht="16.8" customHeight="true">
      <c r="A686" s="47" t="s">
        <v>2020</v>
      </c>
      <c r="B686" s="30" t="s">
        <v>2021</v>
      </c>
      <c r="C686" s="30" t="s">
        <v>263</v>
      </c>
      <c r="D686" s="30" t="s">
        <v>170</v>
      </c>
      <c r="E686" s="31" t="s">
        <v>2022</v>
      </c>
    </row>
    <row r="687" spans="1:5" ht="16.8" customHeight="true">
      <c r="A687" s="47" t="s">
        <v>2023</v>
      </c>
      <c r="B687" s="30" t="s">
        <v>2024</v>
      </c>
      <c r="C687" s="30" t="s">
        <v>165</v>
      </c>
      <c r="D687" s="30" t="s">
        <v>2025</v>
      </c>
      <c r="E687" s="31" t="s">
        <v>2026</v>
      </c>
    </row>
    <row r="688" spans="1:5" ht="16.8" customHeight="true">
      <c r="A688" s="47" t="s">
        <v>690</v>
      </c>
      <c r="B688" s="30" t="s">
        <v>186</v>
      </c>
      <c r="C688" s="30" t="s">
        <v>443</v>
      </c>
      <c r="D688" s="30" t="s">
        <v>232</v>
      </c>
      <c r="E688" s="31" t="s">
        <v>2027</v>
      </c>
    </row>
    <row r="689" spans="1:5" ht="16.8" customHeight="true">
      <c r="A689" s="54">
        <v>46113</v>
      </c>
      <c r="B689" s="55" t="s"/>
      <c r="C689" s="55" t="s"/>
      <c r="D689" s="55" t="s"/>
      <c r="E689" s="56" t="s"/>
    </row>
    <row r="690" spans="1:26" ht="16.8" customHeight="true">
      <c r="A690" s="57" t="s">
        <v>2775</v>
      </c>
      <c r="B690" s="58" t="s">
        <v>2028</v>
      </c>
      <c r="C690" s="58" t="s">
        <v>165</v>
      </c>
      <c r="D690" s="58" t="s"/>
      <c r="E690" s="59" t="s">
        <v>2029</v>
      </c>
      <c r="F690" s="53" t="s"/>
      <c r="G690" s="53" t="s"/>
      <c r="H690" s="53" t="s"/>
      <c r="I690" s="53" t="s"/>
      <c r="J690" s="53" t="s"/>
      <c r="K690" s="53" t="s"/>
      <c r="L690" s="53" t="s"/>
      <c r="M690" s="53" t="s"/>
      <c r="N690" s="53" t="s"/>
      <c r="O690" s="53" t="s"/>
      <c r="P690" s="53" t="s"/>
      <c r="Q690" s="53" t="s"/>
      <c r="R690" s="53" t="s"/>
      <c r="S690" s="53" t="s"/>
      <c r="T690" s="53" t="s"/>
      <c r="U690" s="53" t="s"/>
      <c r="V690" s="53" t="s"/>
      <c r="W690" s="53" t="s"/>
      <c r="X690" s="53" t="s"/>
      <c r="Y690" s="53" t="s"/>
      <c r="Z690" s="53" t="s"/>
    </row>
    <row r="691" spans="1:26" ht="16.8" customHeight="true">
      <c r="A691" s="57" t="s">
        <v>2776</v>
      </c>
      <c r="B691" s="58" t="s">
        <v>168</v>
      </c>
      <c r="C691" s="58" t="s">
        <v>165</v>
      </c>
      <c r="D691" s="58" t="s"/>
      <c r="E691" s="59" t="s">
        <v>2030</v>
      </c>
      <c r="F691" s="53" t="s"/>
      <c r="G691" s="53" t="s"/>
      <c r="H691" s="53" t="s"/>
      <c r="I691" s="53" t="s"/>
      <c r="J691" s="53" t="s"/>
      <c r="K691" s="53" t="s"/>
      <c r="L691" s="53" t="s"/>
      <c r="M691" s="53" t="s"/>
      <c r="N691" s="53" t="s"/>
      <c r="O691" s="53" t="s"/>
      <c r="P691" s="53" t="s"/>
      <c r="Q691" s="53" t="s"/>
      <c r="R691" s="53" t="s"/>
      <c r="S691" s="53" t="s"/>
      <c r="T691" s="53" t="s"/>
      <c r="U691" s="53" t="s"/>
      <c r="V691" s="53" t="s"/>
      <c r="W691" s="53" t="s"/>
      <c r="X691" s="53" t="s"/>
      <c r="Y691" s="53" t="s"/>
      <c r="Z691" s="53" t="s"/>
    </row>
    <row r="692" spans="1:26" ht="16.8" customHeight="true">
      <c r="A692" s="57" t="s">
        <v>2777</v>
      </c>
      <c r="B692" s="58" t="s">
        <v>219</v>
      </c>
      <c r="C692" s="58" t="s">
        <v>165</v>
      </c>
      <c r="D692" s="58" t="s"/>
      <c r="E692" s="59" t="s">
        <v>211</v>
      </c>
      <c r="F692" s="53" t="s"/>
      <c r="G692" s="53" t="s"/>
      <c r="H692" s="53" t="s"/>
      <c r="I692" s="53" t="s"/>
      <c r="J692" s="53" t="s"/>
      <c r="K692" s="53" t="s"/>
      <c r="L692" s="53" t="s"/>
      <c r="M692" s="53" t="s"/>
      <c r="N692" s="53" t="s"/>
      <c r="O692" s="53" t="s"/>
      <c r="P692" s="53" t="s"/>
      <c r="Q692" s="53" t="s"/>
      <c r="R692" s="53" t="s"/>
      <c r="S692" s="53" t="s"/>
      <c r="T692" s="53" t="s"/>
      <c r="U692" s="53" t="s"/>
      <c r="V692" s="53" t="s"/>
      <c r="W692" s="53" t="s"/>
      <c r="X692" s="53" t="s"/>
      <c r="Y692" s="53" t="s"/>
      <c r="Z692" s="53" t="s"/>
    </row>
    <row r="693" spans="1:26" ht="16.8" customHeight="true">
      <c r="A693" s="57" t="s">
        <v>2778</v>
      </c>
      <c r="B693" s="58" t="s">
        <v>1836</v>
      </c>
      <c r="C693" s="58" t="s">
        <v>165</v>
      </c>
      <c r="D693" s="58" t="s"/>
      <c r="E693" s="59" t="s">
        <v>2031</v>
      </c>
      <c r="F693" s="53" t="s"/>
      <c r="G693" s="53" t="s"/>
      <c r="H693" s="53" t="s"/>
      <c r="I693" s="53" t="s"/>
      <c r="J693" s="53" t="s"/>
      <c r="K693" s="53" t="s"/>
      <c r="L693" s="53" t="s"/>
      <c r="M693" s="53" t="s"/>
      <c r="N693" s="53" t="s"/>
      <c r="O693" s="53" t="s"/>
      <c r="P693" s="53" t="s"/>
      <c r="Q693" s="53" t="s"/>
      <c r="R693" s="53" t="s"/>
      <c r="S693" s="53" t="s"/>
      <c r="T693" s="53" t="s"/>
      <c r="U693" s="53" t="s"/>
      <c r="V693" s="53" t="s"/>
      <c r="W693" s="53" t="s"/>
      <c r="X693" s="53" t="s"/>
      <c r="Y693" s="53" t="s"/>
      <c r="Z693" s="53" t="s"/>
    </row>
    <row r="694" spans="1:26" ht="16.8" customHeight="true">
      <c r="A694" s="57" t="s">
        <v>2779</v>
      </c>
      <c r="B694" s="58" t="s">
        <v>2032</v>
      </c>
      <c r="C694" s="58" t="s">
        <v>165</v>
      </c>
      <c r="D694" s="58" t="s"/>
      <c r="E694" s="59" t="s">
        <v>2033</v>
      </c>
      <c r="F694" s="53" t="s"/>
      <c r="G694" s="53" t="s"/>
      <c r="H694" s="53" t="s"/>
      <c r="I694" s="53" t="s"/>
      <c r="J694" s="53" t="s"/>
      <c r="K694" s="53" t="s"/>
      <c r="L694" s="53" t="s"/>
      <c r="M694" s="53" t="s"/>
      <c r="N694" s="53" t="s"/>
      <c r="O694" s="53" t="s"/>
      <c r="P694" s="53" t="s"/>
      <c r="Q694" s="53" t="s"/>
      <c r="R694" s="53" t="s"/>
      <c r="S694" s="53" t="s"/>
      <c r="T694" s="53" t="s"/>
      <c r="U694" s="53" t="s"/>
      <c r="V694" s="53" t="s"/>
      <c r="W694" s="53" t="s"/>
      <c r="X694" s="53" t="s"/>
      <c r="Y694" s="53" t="s"/>
      <c r="Z694" s="53" t="s"/>
    </row>
    <row r="695" spans="1:26" ht="16.8" customHeight="true">
      <c r="A695" s="57" t="s">
        <v>2780</v>
      </c>
      <c r="B695" s="58" t="s">
        <v>2034</v>
      </c>
      <c r="C695" s="58" t="s">
        <v>165</v>
      </c>
      <c r="D695" s="58" t="s"/>
      <c r="E695" s="59" t="s">
        <v>237</v>
      </c>
      <c r="F695" s="53" t="s"/>
      <c r="G695" s="53" t="s"/>
      <c r="H695" s="53" t="s"/>
      <c r="I695" s="53" t="s"/>
      <c r="J695" s="53" t="s"/>
      <c r="K695" s="53" t="s"/>
      <c r="L695" s="53" t="s"/>
      <c r="M695" s="53" t="s"/>
      <c r="N695" s="53" t="s"/>
      <c r="O695" s="53" t="s"/>
      <c r="P695" s="53" t="s"/>
      <c r="Q695" s="53" t="s"/>
      <c r="R695" s="53" t="s"/>
      <c r="S695" s="53" t="s"/>
      <c r="T695" s="53" t="s"/>
      <c r="U695" s="53" t="s"/>
      <c r="V695" s="53" t="s"/>
      <c r="W695" s="53" t="s"/>
      <c r="X695" s="53" t="s"/>
      <c r="Y695" s="53" t="s"/>
      <c r="Z695" s="53" t="s"/>
    </row>
    <row r="696" spans="1:26" ht="16.8" customHeight="true">
      <c r="A696" s="57" t="s">
        <v>2781</v>
      </c>
      <c r="B696" s="58" t="s">
        <v>2035</v>
      </c>
      <c r="C696" s="58" t="s">
        <v>165</v>
      </c>
      <c r="D696" s="58" t="s"/>
      <c r="E696" s="59" t="s">
        <v>2036</v>
      </c>
      <c r="F696" s="53" t="s"/>
      <c r="G696" s="53" t="s"/>
      <c r="H696" s="53" t="s"/>
      <c r="I696" s="53" t="s"/>
      <c r="J696" s="53" t="s"/>
      <c r="K696" s="53" t="s"/>
      <c r="L696" s="53" t="s"/>
      <c r="M696" s="53" t="s"/>
      <c r="N696" s="53" t="s"/>
      <c r="O696" s="53" t="s"/>
      <c r="P696" s="53" t="s"/>
      <c r="Q696" s="53" t="s"/>
      <c r="R696" s="53" t="s"/>
      <c r="S696" s="53" t="s"/>
      <c r="T696" s="53" t="s"/>
      <c r="U696" s="53" t="s"/>
      <c r="V696" s="53" t="s"/>
      <c r="W696" s="53" t="s"/>
      <c r="X696" s="53" t="s"/>
      <c r="Y696" s="53" t="s"/>
      <c r="Z696" s="53" t="s"/>
    </row>
    <row r="697" spans="1:26" ht="16.8" customHeight="true">
      <c r="A697" s="57" t="s">
        <v>2782</v>
      </c>
      <c r="B697" s="58" t="s">
        <v>2037</v>
      </c>
      <c r="C697" s="58" t="s">
        <v>165</v>
      </c>
      <c r="D697" s="58" t="s"/>
      <c r="E697" s="59" t="s">
        <v>2038</v>
      </c>
      <c r="F697" s="53" t="s"/>
      <c r="G697" s="53" t="s"/>
      <c r="H697" s="53" t="s"/>
      <c r="I697" s="53" t="s"/>
      <c r="J697" s="53" t="s"/>
      <c r="K697" s="53" t="s"/>
      <c r="L697" s="53" t="s"/>
      <c r="M697" s="53" t="s"/>
      <c r="N697" s="53" t="s"/>
      <c r="O697" s="53" t="s"/>
      <c r="P697" s="53" t="s"/>
      <c r="Q697" s="53" t="s"/>
      <c r="R697" s="53" t="s"/>
      <c r="S697" s="53" t="s"/>
      <c r="T697" s="53" t="s"/>
      <c r="U697" s="53" t="s"/>
      <c r="V697" s="53" t="s"/>
      <c r="W697" s="53" t="s"/>
      <c r="X697" s="53" t="s"/>
      <c r="Y697" s="53" t="s"/>
      <c r="Z697" s="53" t="s"/>
    </row>
    <row r="698" spans="1:26" ht="16.8" customHeight="true">
      <c r="A698" s="57" t="s">
        <v>2783</v>
      </c>
      <c r="B698" s="58" t="s">
        <v>2039</v>
      </c>
      <c r="C698" s="58" t="s">
        <v>263</v>
      </c>
      <c r="D698" s="58" t="s">
        <v>2040</v>
      </c>
      <c r="E698" s="59" t="s">
        <v>2041</v>
      </c>
      <c r="F698" s="53" t="s"/>
      <c r="G698" s="53" t="s"/>
      <c r="H698" s="53" t="s"/>
      <c r="I698" s="53" t="s"/>
      <c r="J698" s="53" t="s"/>
      <c r="K698" s="53" t="s"/>
      <c r="L698" s="53" t="s"/>
      <c r="M698" s="53" t="s"/>
      <c r="N698" s="53" t="s"/>
      <c r="O698" s="53" t="s"/>
      <c r="P698" s="53" t="s"/>
      <c r="Q698" s="53" t="s"/>
      <c r="R698" s="53" t="s"/>
      <c r="S698" s="53" t="s"/>
      <c r="T698" s="53" t="s"/>
      <c r="U698" s="53" t="s"/>
      <c r="V698" s="53" t="s"/>
      <c r="W698" s="53" t="s"/>
      <c r="X698" s="53" t="s"/>
      <c r="Y698" s="53" t="s"/>
      <c r="Z698" s="53" t="s"/>
    </row>
    <row r="699" spans="1:26" ht="16.8" customHeight="true">
      <c r="A699" s="57" t="s">
        <v>2784</v>
      </c>
      <c r="B699" s="58" t="s">
        <v>2042</v>
      </c>
      <c r="C699" s="58" t="s">
        <v>443</v>
      </c>
      <c r="D699" s="58" t="s">
        <v>153</v>
      </c>
      <c r="E699" s="59" t="s">
        <v>2043</v>
      </c>
      <c r="F699" s="53" t="s"/>
      <c r="G699" s="53" t="s"/>
      <c r="H699" s="53" t="s"/>
      <c r="I699" s="53" t="s"/>
      <c r="J699" s="53" t="s"/>
      <c r="K699" s="53" t="s"/>
      <c r="L699" s="53" t="s"/>
      <c r="M699" s="53" t="s"/>
      <c r="N699" s="53" t="s"/>
      <c r="O699" s="53" t="s"/>
      <c r="P699" s="53" t="s"/>
      <c r="Q699" s="53" t="s"/>
      <c r="R699" s="53" t="s"/>
      <c r="S699" s="53" t="s"/>
      <c r="T699" s="53" t="s"/>
      <c r="U699" s="53" t="s"/>
      <c r="V699" s="53" t="s"/>
      <c r="W699" s="53" t="s"/>
      <c r="X699" s="53" t="s"/>
      <c r="Y699" s="53" t="s"/>
      <c r="Z699" s="53" t="s"/>
    </row>
    <row r="700" spans="1:26" ht="16.8" customHeight="true">
      <c r="A700" s="57" t="s">
        <v>2785</v>
      </c>
      <c r="B700" s="58" t="s">
        <v>2044</v>
      </c>
      <c r="C700" s="58" t="s">
        <v>165</v>
      </c>
      <c r="D700" s="58" t="s"/>
      <c r="E700" s="59" t="s">
        <v>2045</v>
      </c>
      <c r="F700" s="53" t="s"/>
      <c r="G700" s="53" t="s"/>
      <c r="H700" s="53" t="s"/>
      <c r="I700" s="53" t="s"/>
      <c r="J700" s="53" t="s"/>
      <c r="K700" s="53" t="s"/>
      <c r="L700" s="53" t="s"/>
      <c r="M700" s="53" t="s"/>
      <c r="N700" s="53" t="s"/>
      <c r="O700" s="53" t="s"/>
      <c r="P700" s="53" t="s"/>
      <c r="Q700" s="53" t="s"/>
      <c r="R700" s="53" t="s"/>
      <c r="S700" s="53" t="s"/>
      <c r="T700" s="53" t="s"/>
      <c r="U700" s="53" t="s"/>
      <c r="V700" s="53" t="s"/>
      <c r="W700" s="53" t="s"/>
      <c r="X700" s="53" t="s"/>
      <c r="Y700" s="53" t="s"/>
      <c r="Z700" s="53" t="s"/>
    </row>
    <row r="701" spans="1:26" ht="16.8" customHeight="true">
      <c r="A701" s="57" t="s">
        <v>2786</v>
      </c>
      <c r="B701" s="58" t="s">
        <v>2046</v>
      </c>
      <c r="C701" s="58" t="s">
        <v>263</v>
      </c>
      <c r="D701" s="58" t="s">
        <v>232</v>
      </c>
      <c r="E701" s="59" t="s">
        <v>2047</v>
      </c>
      <c r="F701" s="53" t="s"/>
      <c r="G701" s="53" t="s"/>
      <c r="H701" s="53" t="s"/>
      <c r="I701" s="53" t="s"/>
      <c r="J701" s="53" t="s"/>
      <c r="K701" s="53" t="s"/>
      <c r="L701" s="53" t="s"/>
      <c r="M701" s="53" t="s"/>
      <c r="N701" s="53" t="s"/>
      <c r="O701" s="53" t="s"/>
      <c r="P701" s="53" t="s"/>
      <c r="Q701" s="53" t="s"/>
      <c r="R701" s="53" t="s"/>
      <c r="S701" s="53" t="s"/>
      <c r="T701" s="53" t="s"/>
      <c r="U701" s="53" t="s"/>
      <c r="V701" s="53" t="s"/>
      <c r="W701" s="53" t="s"/>
      <c r="X701" s="53" t="s"/>
      <c r="Y701" s="53" t="s"/>
      <c r="Z701" s="53" t="s"/>
    </row>
    <row r="702" spans="1:26" ht="16.8" customHeight="true">
      <c r="A702" s="57" t="s">
        <v>2787</v>
      </c>
      <c r="B702" s="58" t="s">
        <v>2048</v>
      </c>
      <c r="C702" s="58" t="s">
        <v>263</v>
      </c>
      <c r="D702" s="58" t="s">
        <v>170</v>
      </c>
      <c r="E702" s="59" t="s">
        <v>2049</v>
      </c>
      <c r="F702" s="53" t="s"/>
      <c r="G702" s="53" t="s"/>
      <c r="H702" s="53" t="s"/>
      <c r="I702" s="53" t="s"/>
      <c r="J702" s="53" t="s"/>
      <c r="K702" s="53" t="s"/>
      <c r="L702" s="53" t="s"/>
      <c r="M702" s="53" t="s"/>
      <c r="N702" s="53" t="s"/>
      <c r="O702" s="53" t="s"/>
      <c r="P702" s="53" t="s"/>
      <c r="Q702" s="53" t="s"/>
      <c r="R702" s="53" t="s"/>
      <c r="S702" s="53" t="s"/>
      <c r="T702" s="53" t="s"/>
      <c r="U702" s="53" t="s"/>
      <c r="V702" s="53" t="s"/>
      <c r="W702" s="53" t="s"/>
      <c r="X702" s="53" t="s"/>
      <c r="Y702" s="53" t="s"/>
      <c r="Z702" s="53" t="s"/>
    </row>
    <row r="703" spans="1:26" ht="16.8" customHeight="true">
      <c r="A703" s="57" t="s">
        <v>2788</v>
      </c>
      <c r="B703" s="58" t="s">
        <v>2050</v>
      </c>
      <c r="C703" s="58" t="s">
        <v>819</v>
      </c>
      <c r="D703" s="58" t="s">
        <v>170</v>
      </c>
      <c r="E703" s="59" t="s">
        <v>2051</v>
      </c>
      <c r="F703" s="53" t="s"/>
      <c r="G703" s="53" t="s"/>
      <c r="H703" s="53" t="s"/>
      <c r="I703" s="53" t="s"/>
      <c r="J703" s="53" t="s"/>
      <c r="K703" s="53" t="s"/>
      <c r="L703" s="53" t="s"/>
      <c r="M703" s="53" t="s"/>
      <c r="N703" s="53" t="s"/>
      <c r="O703" s="53" t="s"/>
      <c r="P703" s="53" t="s"/>
      <c r="Q703" s="53" t="s"/>
      <c r="R703" s="53" t="s"/>
      <c r="S703" s="53" t="s"/>
      <c r="T703" s="53" t="s"/>
      <c r="U703" s="53" t="s"/>
      <c r="V703" s="53" t="s"/>
      <c r="W703" s="53" t="s"/>
      <c r="X703" s="53" t="s"/>
      <c r="Y703" s="53" t="s"/>
      <c r="Z703" s="53" t="s"/>
    </row>
    <row r="704" spans="1:26" ht="16.8" customHeight="true">
      <c r="A704" s="57" t="s">
        <v>2789</v>
      </c>
      <c r="B704" s="58" t="s">
        <v>2052</v>
      </c>
      <c r="C704" s="58" t="s">
        <v>165</v>
      </c>
      <c r="D704" s="58" t="s"/>
      <c r="E704" s="59" t="s">
        <v>2053</v>
      </c>
      <c r="F704" s="53" t="s"/>
      <c r="G704" s="53" t="s"/>
      <c r="H704" s="53" t="s"/>
      <c r="I704" s="53" t="s"/>
      <c r="J704" s="53" t="s"/>
      <c r="K704" s="53" t="s"/>
      <c r="L704" s="53" t="s"/>
      <c r="M704" s="53" t="s"/>
      <c r="N704" s="53" t="s"/>
      <c r="O704" s="53" t="s"/>
      <c r="P704" s="53" t="s"/>
      <c r="Q704" s="53" t="s"/>
      <c r="R704" s="53" t="s"/>
      <c r="S704" s="53" t="s"/>
      <c r="T704" s="53" t="s"/>
      <c r="U704" s="53" t="s"/>
      <c r="V704" s="53" t="s"/>
      <c r="W704" s="53" t="s"/>
      <c r="X704" s="53" t="s"/>
      <c r="Y704" s="53" t="s"/>
      <c r="Z704" s="53" t="s"/>
    </row>
    <row r="705" spans="1:26" ht="16.8" customHeight="true">
      <c r="A705" s="57" t="s">
        <v>2790</v>
      </c>
      <c r="B705" s="58" t="s">
        <v>1352</v>
      </c>
      <c r="C705" s="58" t="s">
        <v>165</v>
      </c>
      <c r="D705" s="58" t="s"/>
      <c r="E705" s="59" t="s">
        <v>2054</v>
      </c>
      <c r="F705" s="53" t="s"/>
      <c r="G705" s="53" t="s"/>
      <c r="H705" s="53" t="s"/>
      <c r="I705" s="53" t="s"/>
      <c r="J705" s="53" t="s"/>
      <c r="K705" s="53" t="s"/>
      <c r="L705" s="53" t="s"/>
      <c r="M705" s="53" t="s"/>
      <c r="N705" s="53" t="s"/>
      <c r="O705" s="53" t="s"/>
      <c r="P705" s="53" t="s"/>
      <c r="Q705" s="53" t="s"/>
      <c r="R705" s="53" t="s"/>
      <c r="S705" s="53" t="s"/>
      <c r="T705" s="53" t="s"/>
      <c r="U705" s="53" t="s"/>
      <c r="V705" s="53" t="s"/>
      <c r="W705" s="53" t="s"/>
      <c r="X705" s="53" t="s"/>
      <c r="Y705" s="53" t="s"/>
      <c r="Z705" s="53" t="s"/>
    </row>
    <row r="706" spans="1:26" ht="16.8" customHeight="true">
      <c r="A706" s="57" t="s">
        <v>2791</v>
      </c>
      <c r="B706" s="58" t="s">
        <v>2055</v>
      </c>
      <c r="C706" s="58" t="s">
        <v>165</v>
      </c>
      <c r="D706" s="58" t="s"/>
      <c r="E706" s="59" t="s">
        <v>2056</v>
      </c>
      <c r="F706" s="53" t="s"/>
      <c r="G706" s="53" t="s"/>
      <c r="H706" s="53" t="s"/>
      <c r="I706" s="53" t="s"/>
      <c r="J706" s="53" t="s"/>
      <c r="K706" s="53" t="s"/>
      <c r="L706" s="53" t="s"/>
      <c r="M706" s="53" t="s"/>
      <c r="N706" s="53" t="s"/>
      <c r="O706" s="53" t="s"/>
      <c r="P706" s="53" t="s"/>
      <c r="Q706" s="53" t="s"/>
      <c r="R706" s="53" t="s"/>
      <c r="S706" s="53" t="s"/>
      <c r="T706" s="53" t="s"/>
      <c r="U706" s="53" t="s"/>
      <c r="V706" s="53" t="s"/>
      <c r="W706" s="53" t="s"/>
      <c r="X706" s="53" t="s"/>
      <c r="Y706" s="53" t="s"/>
      <c r="Z706" s="53" t="s"/>
    </row>
    <row r="707" spans="1:26" ht="16.8" customHeight="true">
      <c r="A707" s="57" t="s">
        <v>2792</v>
      </c>
      <c r="B707" s="58" t="s">
        <v>1588</v>
      </c>
      <c r="C707" s="58" t="s">
        <v>165</v>
      </c>
      <c r="D707" s="58" t="s"/>
      <c r="E707" s="59" t="s">
        <v>2057</v>
      </c>
      <c r="F707" s="53" t="s"/>
      <c r="G707" s="53" t="s"/>
      <c r="H707" s="53" t="s"/>
      <c r="I707" s="53" t="s"/>
      <c r="J707" s="53" t="s"/>
      <c r="K707" s="53" t="s"/>
      <c r="L707" s="53" t="s"/>
      <c r="M707" s="53" t="s"/>
      <c r="N707" s="53" t="s"/>
      <c r="O707" s="53" t="s"/>
      <c r="P707" s="53" t="s"/>
      <c r="Q707" s="53" t="s"/>
      <c r="R707" s="53" t="s"/>
      <c r="S707" s="53" t="s"/>
      <c r="T707" s="53" t="s"/>
      <c r="U707" s="53" t="s"/>
      <c r="V707" s="53" t="s"/>
      <c r="W707" s="53" t="s"/>
      <c r="X707" s="53" t="s"/>
      <c r="Y707" s="53" t="s"/>
      <c r="Z707" s="53" t="s"/>
    </row>
    <row r="708" spans="1:26" ht="16.8" customHeight="true">
      <c r="A708" s="57" t="s">
        <v>2793</v>
      </c>
      <c r="B708" s="58" t="s">
        <v>2058</v>
      </c>
      <c r="C708" s="58" t="s">
        <v>443</v>
      </c>
      <c r="D708" s="58" t="s"/>
      <c r="E708" s="59" t="s">
        <v>2059</v>
      </c>
      <c r="F708" s="53" t="s"/>
      <c r="G708" s="53" t="s"/>
      <c r="H708" s="53" t="s"/>
      <c r="I708" s="53" t="s"/>
      <c r="J708" s="53" t="s"/>
      <c r="K708" s="53" t="s"/>
      <c r="L708" s="53" t="s"/>
      <c r="M708" s="53" t="s"/>
      <c r="N708" s="53" t="s"/>
      <c r="O708" s="53" t="s"/>
      <c r="P708" s="53" t="s"/>
      <c r="Q708" s="53" t="s"/>
      <c r="R708" s="53" t="s"/>
      <c r="S708" s="53" t="s"/>
      <c r="T708" s="53" t="s"/>
      <c r="U708" s="53" t="s"/>
      <c r="V708" s="53" t="s"/>
      <c r="W708" s="53" t="s"/>
      <c r="X708" s="53" t="s"/>
      <c r="Y708" s="53" t="s"/>
      <c r="Z708" s="53" t="s"/>
    </row>
    <row r="709" spans="1:26" ht="16.8" customHeight="true">
      <c r="A709" s="57" t="s">
        <v>2794</v>
      </c>
      <c r="B709" s="58" t="s">
        <v>2060</v>
      </c>
      <c r="C709" s="58" t="s">
        <v>165</v>
      </c>
      <c r="D709" s="58" t="s">
        <v>170</v>
      </c>
      <c r="E709" s="59" t="s">
        <v>2061</v>
      </c>
      <c r="F709" s="53" t="s"/>
      <c r="G709" s="53" t="s"/>
      <c r="H709" s="53" t="s"/>
      <c r="I709" s="53" t="s"/>
      <c r="J709" s="53" t="s"/>
      <c r="K709" s="53" t="s"/>
      <c r="L709" s="53" t="s"/>
      <c r="M709" s="53" t="s"/>
      <c r="N709" s="53" t="s"/>
      <c r="O709" s="53" t="s"/>
      <c r="P709" s="53" t="s"/>
      <c r="Q709" s="53" t="s"/>
      <c r="R709" s="53" t="s"/>
      <c r="S709" s="53" t="s"/>
      <c r="T709" s="53" t="s"/>
      <c r="U709" s="53" t="s"/>
      <c r="V709" s="53" t="s"/>
      <c r="W709" s="53" t="s"/>
      <c r="X709" s="53" t="s"/>
      <c r="Y709" s="53" t="s"/>
      <c r="Z709" s="53" t="s"/>
    </row>
    <row r="710" spans="1:26" ht="16.8" customHeight="true">
      <c r="A710" s="57" t="s">
        <v>2795</v>
      </c>
      <c r="B710" s="58" t="s">
        <v>2062</v>
      </c>
      <c r="C710" s="58" t="s">
        <v>165</v>
      </c>
      <c r="D710" s="58" t="s"/>
      <c r="E710" s="59" t="s">
        <v>2063</v>
      </c>
      <c r="F710" s="53" t="s"/>
      <c r="G710" s="53" t="s"/>
      <c r="H710" s="53" t="s"/>
      <c r="I710" s="53" t="s"/>
      <c r="J710" s="53" t="s"/>
      <c r="K710" s="53" t="s"/>
      <c r="L710" s="53" t="s"/>
      <c r="M710" s="53" t="s"/>
      <c r="N710" s="53" t="s"/>
      <c r="O710" s="53" t="s"/>
      <c r="P710" s="53" t="s"/>
      <c r="Q710" s="53" t="s"/>
      <c r="R710" s="53" t="s"/>
      <c r="S710" s="53" t="s"/>
      <c r="T710" s="53" t="s"/>
      <c r="U710" s="53" t="s"/>
      <c r="V710" s="53" t="s"/>
      <c r="W710" s="53" t="s"/>
      <c r="X710" s="53" t="s"/>
      <c r="Y710" s="53" t="s"/>
      <c r="Z710" s="53" t="s"/>
    </row>
    <row r="711" spans="1:26" ht="16.8" customHeight="true">
      <c r="A711" s="57" t="s">
        <v>2796</v>
      </c>
      <c r="B711" s="58" t="s">
        <v>2064</v>
      </c>
      <c r="C711" s="58" t="s">
        <v>165</v>
      </c>
      <c r="D711" s="58" t="s"/>
      <c r="E711" s="59" t="s">
        <v>2065</v>
      </c>
      <c r="F711" s="53" t="s"/>
      <c r="G711" s="53" t="s"/>
      <c r="H711" s="53" t="s"/>
      <c r="I711" s="53" t="s"/>
      <c r="J711" s="53" t="s"/>
      <c r="K711" s="53" t="s"/>
      <c r="L711" s="53" t="s"/>
      <c r="M711" s="53" t="s"/>
      <c r="N711" s="53" t="s"/>
      <c r="O711" s="53" t="s"/>
      <c r="P711" s="53" t="s"/>
      <c r="Q711" s="53" t="s"/>
      <c r="R711" s="53" t="s"/>
      <c r="S711" s="53" t="s"/>
      <c r="T711" s="53" t="s"/>
      <c r="U711" s="53" t="s"/>
      <c r="V711" s="53" t="s"/>
      <c r="W711" s="53" t="s"/>
      <c r="X711" s="53" t="s"/>
      <c r="Y711" s="53" t="s"/>
      <c r="Z711" s="53" t="s"/>
    </row>
    <row r="712" spans="1:26" ht="16.8" customHeight="true">
      <c r="A712" s="57" t="s">
        <v>2797</v>
      </c>
      <c r="B712" s="58" t="s">
        <v>2066</v>
      </c>
      <c r="C712" s="58" t="s">
        <v>165</v>
      </c>
      <c r="D712" s="58" t="s">
        <v>153</v>
      </c>
      <c r="E712" s="59" t="s">
        <v>2067</v>
      </c>
      <c r="F712" s="53" t="s"/>
      <c r="G712" s="53" t="s"/>
      <c r="H712" s="53" t="s"/>
      <c r="I712" s="53" t="s"/>
      <c r="J712" s="53" t="s"/>
      <c r="K712" s="53" t="s"/>
      <c r="L712" s="53" t="s"/>
      <c r="M712" s="53" t="s"/>
      <c r="N712" s="53" t="s"/>
      <c r="O712" s="53" t="s"/>
      <c r="P712" s="53" t="s"/>
      <c r="Q712" s="53" t="s"/>
      <c r="R712" s="53" t="s"/>
      <c r="S712" s="53" t="s"/>
      <c r="T712" s="53" t="s"/>
      <c r="U712" s="53" t="s"/>
      <c r="V712" s="53" t="s"/>
      <c r="W712" s="53" t="s"/>
      <c r="X712" s="53" t="s"/>
      <c r="Y712" s="53" t="s"/>
      <c r="Z712" s="53" t="s"/>
    </row>
    <row r="713" spans="1:26" ht="16.8" customHeight="true">
      <c r="A713" s="57" t="s">
        <v>2798</v>
      </c>
      <c r="B713" s="58" t="s">
        <v>2068</v>
      </c>
      <c r="C713" s="58" t="s">
        <v>152</v>
      </c>
      <c r="D713" s="58" t="s">
        <v>528</v>
      </c>
      <c r="E713" s="59" t="s">
        <v>288</v>
      </c>
      <c r="F713" s="53" t="s"/>
      <c r="G713" s="53" t="s"/>
      <c r="H713" s="53" t="s"/>
      <c r="I713" s="53" t="s"/>
      <c r="J713" s="53" t="s"/>
      <c r="K713" s="53" t="s"/>
      <c r="L713" s="53" t="s"/>
      <c r="M713" s="53" t="s"/>
      <c r="N713" s="53" t="s"/>
      <c r="O713" s="53" t="s"/>
      <c r="P713" s="53" t="s"/>
      <c r="Q713" s="53" t="s"/>
      <c r="R713" s="53" t="s"/>
      <c r="S713" s="53" t="s"/>
      <c r="T713" s="53" t="s"/>
      <c r="U713" s="53" t="s"/>
      <c r="V713" s="53" t="s"/>
      <c r="W713" s="53" t="s"/>
      <c r="X713" s="53" t="s"/>
      <c r="Y713" s="53" t="s"/>
      <c r="Z713" s="53" t="s"/>
    </row>
    <row r="714" spans="1:26" ht="16.8" customHeight="true">
      <c r="A714" s="57" t="s">
        <v>2799</v>
      </c>
      <c r="B714" s="58" t="s">
        <v>2069</v>
      </c>
      <c r="C714" s="58" t="s">
        <v>165</v>
      </c>
      <c r="D714" s="58" t="s"/>
      <c r="E714" s="59" t="s">
        <v>2070</v>
      </c>
      <c r="F714" s="53" t="s"/>
      <c r="G714" s="53" t="s"/>
      <c r="H714" s="53" t="s"/>
      <c r="I714" s="53" t="s"/>
      <c r="J714" s="53" t="s"/>
      <c r="K714" s="53" t="s"/>
      <c r="L714" s="53" t="s"/>
      <c r="M714" s="53" t="s"/>
      <c r="N714" s="53" t="s"/>
      <c r="O714" s="53" t="s"/>
      <c r="P714" s="53" t="s"/>
      <c r="Q714" s="53" t="s"/>
      <c r="R714" s="53" t="s"/>
      <c r="S714" s="53" t="s"/>
      <c r="T714" s="53" t="s"/>
      <c r="U714" s="53" t="s"/>
      <c r="V714" s="53" t="s"/>
      <c r="W714" s="53" t="s"/>
      <c r="X714" s="53" t="s"/>
      <c r="Y714" s="53" t="s"/>
      <c r="Z714" s="53" t="s"/>
    </row>
    <row r="715" spans="1:26" ht="16.8" customHeight="true">
      <c r="A715" s="57" t="s">
        <v>2800</v>
      </c>
      <c r="B715" s="58" t="s">
        <v>2071</v>
      </c>
      <c r="C715" s="58" t="s">
        <v>165</v>
      </c>
      <c r="D715" s="58" t="s"/>
      <c r="E715" s="59" t="s">
        <v>2072</v>
      </c>
      <c r="F715" s="53" t="s"/>
      <c r="G715" s="53" t="s"/>
      <c r="H715" s="53" t="s"/>
      <c r="I715" s="53" t="s"/>
      <c r="J715" s="53" t="s"/>
      <c r="K715" s="53" t="s"/>
      <c r="L715" s="53" t="s"/>
      <c r="M715" s="53" t="s"/>
      <c r="N715" s="53" t="s"/>
      <c r="O715" s="53" t="s"/>
      <c r="P715" s="53" t="s"/>
      <c r="Q715" s="53" t="s"/>
      <c r="R715" s="53" t="s"/>
      <c r="S715" s="53" t="s"/>
      <c r="T715" s="53" t="s"/>
      <c r="U715" s="53" t="s"/>
      <c r="V715" s="53" t="s"/>
      <c r="W715" s="53" t="s"/>
      <c r="X715" s="53" t="s"/>
      <c r="Y715" s="53" t="s"/>
      <c r="Z715" s="53" t="s"/>
    </row>
    <row r="716" spans="1:26" ht="16.8" customHeight="true">
      <c r="A716" s="57" t="s">
        <v>2801</v>
      </c>
      <c r="B716" s="58" t="s">
        <v>2073</v>
      </c>
      <c r="C716" s="58" t="s">
        <v>165</v>
      </c>
      <c r="D716" s="58" t="s"/>
      <c r="E716" s="59" t="s">
        <v>2074</v>
      </c>
      <c r="F716" s="53" t="s"/>
      <c r="G716" s="53" t="s"/>
      <c r="H716" s="53" t="s"/>
      <c r="I716" s="53" t="s"/>
      <c r="J716" s="53" t="s"/>
      <c r="K716" s="53" t="s"/>
      <c r="L716" s="53" t="s"/>
      <c r="M716" s="53" t="s"/>
      <c r="N716" s="53" t="s"/>
      <c r="O716" s="53" t="s"/>
      <c r="P716" s="53" t="s"/>
      <c r="Q716" s="53" t="s"/>
      <c r="R716" s="53" t="s"/>
      <c r="S716" s="53" t="s"/>
      <c r="T716" s="53" t="s"/>
      <c r="U716" s="53" t="s"/>
      <c r="V716" s="53" t="s"/>
      <c r="W716" s="53" t="s"/>
      <c r="X716" s="53" t="s"/>
      <c r="Y716" s="53" t="s"/>
      <c r="Z716" s="53" t="s"/>
    </row>
    <row r="717" spans="1:26" ht="16.8" customHeight="true">
      <c r="A717" s="57" t="s">
        <v>2802</v>
      </c>
      <c r="B717" s="58" t="s">
        <v>2075</v>
      </c>
      <c r="C717" s="58" t="s">
        <v>165</v>
      </c>
      <c r="D717" s="58" t="s"/>
      <c r="E717" s="59" t="s">
        <v>2076</v>
      </c>
      <c r="F717" s="53" t="s"/>
      <c r="G717" s="53" t="s"/>
      <c r="H717" s="53" t="s"/>
      <c r="I717" s="53" t="s"/>
      <c r="J717" s="53" t="s"/>
      <c r="K717" s="53" t="s"/>
      <c r="L717" s="53" t="s"/>
      <c r="M717" s="53" t="s"/>
      <c r="N717" s="53" t="s"/>
      <c r="O717" s="53" t="s"/>
      <c r="P717" s="53" t="s"/>
      <c r="Q717" s="53" t="s"/>
      <c r="R717" s="53" t="s"/>
      <c r="S717" s="53" t="s"/>
      <c r="T717" s="53" t="s"/>
      <c r="U717" s="53" t="s"/>
      <c r="V717" s="53" t="s"/>
      <c r="W717" s="53" t="s"/>
      <c r="X717" s="53" t="s"/>
      <c r="Y717" s="53" t="s"/>
      <c r="Z717" s="53" t="s"/>
    </row>
    <row r="718" spans="1:26" ht="16.8" customHeight="true">
      <c r="A718" s="57" t="s">
        <v>2803</v>
      </c>
      <c r="B718" s="58" t="s">
        <v>2077</v>
      </c>
      <c r="C718" s="58" t="s">
        <v>165</v>
      </c>
      <c r="D718" s="58" t="s"/>
      <c r="E718" s="59" t="s">
        <v>2078</v>
      </c>
      <c r="F718" s="53" t="s"/>
      <c r="G718" s="53" t="s"/>
      <c r="H718" s="53" t="s"/>
      <c r="I718" s="53" t="s"/>
      <c r="J718" s="53" t="s"/>
      <c r="K718" s="53" t="s"/>
      <c r="L718" s="53" t="s"/>
      <c r="M718" s="53" t="s"/>
      <c r="N718" s="53" t="s"/>
      <c r="O718" s="53" t="s"/>
      <c r="P718" s="53" t="s"/>
      <c r="Q718" s="53" t="s"/>
      <c r="R718" s="53" t="s"/>
      <c r="S718" s="53" t="s"/>
      <c r="T718" s="53" t="s"/>
      <c r="U718" s="53" t="s"/>
      <c r="V718" s="53" t="s"/>
      <c r="W718" s="53" t="s"/>
      <c r="X718" s="53" t="s"/>
      <c r="Y718" s="53" t="s"/>
      <c r="Z718" s="53" t="s"/>
    </row>
    <row r="719" spans="1:26" ht="16.8" customHeight="true">
      <c r="A719" s="57" t="s">
        <v>2804</v>
      </c>
      <c r="B719" s="58" t="s">
        <v>2079</v>
      </c>
      <c r="C719" s="58" t="s">
        <v>236</v>
      </c>
      <c r="D719" s="58" t="s">
        <v>402</v>
      </c>
      <c r="E719" s="59" t="s">
        <v>2080</v>
      </c>
      <c r="F719" s="53" t="s"/>
      <c r="G719" s="53" t="s"/>
      <c r="H719" s="53" t="s"/>
      <c r="I719" s="53" t="s"/>
      <c r="J719" s="53" t="s"/>
      <c r="K719" s="53" t="s"/>
      <c r="L719" s="53" t="s"/>
      <c r="M719" s="53" t="s"/>
      <c r="N719" s="53" t="s"/>
      <c r="O719" s="53" t="s"/>
      <c r="P719" s="53" t="s"/>
      <c r="Q719" s="53" t="s"/>
      <c r="R719" s="53" t="s"/>
      <c r="S719" s="53" t="s"/>
      <c r="T719" s="53" t="s"/>
      <c r="U719" s="53" t="s"/>
      <c r="V719" s="53" t="s"/>
      <c r="W719" s="53" t="s"/>
      <c r="X719" s="53" t="s"/>
      <c r="Y719" s="53" t="s"/>
      <c r="Z719" s="53" t="s"/>
    </row>
    <row r="720" spans="1:26" ht="16.8" customHeight="true">
      <c r="A720" s="57" t="s">
        <v>2805</v>
      </c>
      <c r="B720" s="58" t="s">
        <v>546</v>
      </c>
      <c r="C720" s="58" t="s">
        <v>2081</v>
      </c>
      <c r="D720" s="58" t="s">
        <v>1211</v>
      </c>
      <c r="E720" s="59" t="s">
        <v>2082</v>
      </c>
      <c r="F720" s="53" t="s"/>
      <c r="G720" s="53" t="s"/>
      <c r="H720" s="53" t="s"/>
      <c r="I720" s="53" t="s"/>
      <c r="J720" s="53" t="s"/>
      <c r="K720" s="53" t="s"/>
      <c r="L720" s="53" t="s"/>
      <c r="M720" s="53" t="s"/>
      <c r="N720" s="53" t="s"/>
      <c r="O720" s="53" t="s"/>
      <c r="P720" s="53" t="s"/>
      <c r="Q720" s="53" t="s"/>
      <c r="R720" s="53" t="s"/>
      <c r="S720" s="53" t="s"/>
      <c r="T720" s="53" t="s"/>
      <c r="U720" s="53" t="s"/>
      <c r="V720" s="53" t="s"/>
      <c r="W720" s="53" t="s"/>
      <c r="X720" s="53" t="s"/>
      <c r="Y720" s="53" t="s"/>
      <c r="Z720" s="53" t="s"/>
    </row>
    <row r="721" spans="1:26" ht="16.8" customHeight="true">
      <c r="A721" s="57" t="s">
        <v>2806</v>
      </c>
      <c r="B721" s="58" t="s">
        <v>2083</v>
      </c>
      <c r="C721" s="58" t="s">
        <v>484</v>
      </c>
      <c r="D721" s="58" t="s">
        <v>918</v>
      </c>
      <c r="E721" s="59" t="s">
        <v>2807</v>
      </c>
      <c r="F721" s="53" t="s"/>
      <c r="G721" s="53" t="s"/>
      <c r="H721" s="53" t="s"/>
      <c r="I721" s="53" t="s"/>
      <c r="J721" s="53" t="s"/>
      <c r="K721" s="53" t="s"/>
      <c r="L721" s="53" t="s"/>
      <c r="M721" s="53" t="s"/>
      <c r="N721" s="53" t="s"/>
      <c r="O721" s="53" t="s"/>
      <c r="P721" s="53" t="s"/>
      <c r="Q721" s="53" t="s"/>
      <c r="R721" s="53" t="s"/>
      <c r="S721" s="53" t="s"/>
      <c r="T721" s="53" t="s"/>
      <c r="U721" s="53" t="s"/>
      <c r="V721" s="53" t="s"/>
      <c r="W721" s="53" t="s"/>
      <c r="X721" s="53" t="s"/>
      <c r="Y721" s="53" t="s"/>
      <c r="Z721" s="53" t="s"/>
    </row>
    <row r="722" spans="1:26" ht="16.8" customHeight="true">
      <c r="A722" s="57" t="s">
        <v>2791</v>
      </c>
      <c r="B722" s="58" t="s">
        <v>2055</v>
      </c>
      <c r="C722" s="58" t="s">
        <v>165</v>
      </c>
      <c r="D722" s="58" t="s"/>
      <c r="E722" s="59" t="s">
        <v>2084</v>
      </c>
      <c r="F722" s="53" t="s"/>
      <c r="G722" s="53" t="s"/>
      <c r="H722" s="53" t="s"/>
      <c r="I722" s="53" t="s"/>
      <c r="J722" s="53" t="s"/>
      <c r="K722" s="53" t="s"/>
      <c r="L722" s="53" t="s"/>
      <c r="M722" s="53" t="s"/>
      <c r="N722" s="53" t="s"/>
      <c r="O722" s="53" t="s"/>
      <c r="P722" s="53" t="s"/>
      <c r="Q722" s="53" t="s"/>
      <c r="R722" s="53" t="s"/>
      <c r="S722" s="53" t="s"/>
      <c r="T722" s="53" t="s"/>
      <c r="U722" s="53" t="s"/>
      <c r="V722" s="53" t="s"/>
      <c r="W722" s="53" t="s"/>
      <c r="X722" s="53" t="s"/>
      <c r="Y722" s="53" t="s"/>
      <c r="Z722" s="53" t="s"/>
    </row>
    <row r="723" spans="1:26" ht="16.8" customHeight="true">
      <c r="A723" s="57" t="s">
        <v>2808</v>
      </c>
      <c r="B723" s="58" t="s">
        <v>2085</v>
      </c>
      <c r="C723" s="58" t="s">
        <v>797</v>
      </c>
      <c r="D723" s="58" t="s"/>
      <c r="E723" s="59" t="s">
        <v>2086</v>
      </c>
      <c r="F723" s="53" t="s"/>
      <c r="G723" s="53" t="s"/>
      <c r="H723" s="53" t="s"/>
      <c r="I723" s="53" t="s"/>
      <c r="J723" s="53" t="s"/>
      <c r="K723" s="53" t="s"/>
      <c r="L723" s="53" t="s"/>
      <c r="M723" s="53" t="s"/>
      <c r="N723" s="53" t="s"/>
      <c r="O723" s="53" t="s"/>
      <c r="P723" s="53" t="s"/>
      <c r="Q723" s="53" t="s"/>
      <c r="R723" s="53" t="s"/>
      <c r="S723" s="53" t="s"/>
      <c r="T723" s="53" t="s"/>
      <c r="U723" s="53" t="s"/>
      <c r="V723" s="53" t="s"/>
      <c r="W723" s="53" t="s"/>
      <c r="X723" s="53" t="s"/>
      <c r="Y723" s="53" t="s"/>
      <c r="Z723" s="53" t="s"/>
    </row>
    <row r="724" spans="1:26" ht="16.8" customHeight="true">
      <c r="A724" s="57" t="s">
        <v>2809</v>
      </c>
      <c r="B724" s="58" t="s">
        <v>2087</v>
      </c>
      <c r="C724" s="58" t="s">
        <v>165</v>
      </c>
      <c r="D724" s="58" t="s"/>
      <c r="E724" s="59" t="s">
        <v>2088</v>
      </c>
      <c r="F724" s="53" t="s"/>
      <c r="G724" s="53" t="s"/>
      <c r="H724" s="53" t="s"/>
      <c r="I724" s="53" t="s"/>
      <c r="J724" s="53" t="s"/>
      <c r="K724" s="53" t="s"/>
      <c r="L724" s="53" t="s"/>
      <c r="M724" s="53" t="s"/>
      <c r="N724" s="53" t="s"/>
      <c r="O724" s="53" t="s"/>
      <c r="P724" s="53" t="s"/>
      <c r="Q724" s="53" t="s"/>
      <c r="R724" s="53" t="s"/>
      <c r="S724" s="53" t="s"/>
      <c r="T724" s="53" t="s"/>
      <c r="U724" s="53" t="s"/>
      <c r="V724" s="53" t="s"/>
      <c r="W724" s="53" t="s"/>
      <c r="X724" s="53" t="s"/>
      <c r="Y724" s="53" t="s"/>
      <c r="Z724" s="53" t="s"/>
    </row>
    <row r="725" spans="1:26" ht="16.8" customHeight="true">
      <c r="A725" s="57" t="s">
        <v>2810</v>
      </c>
      <c r="B725" s="58" t="s">
        <v>2089</v>
      </c>
      <c r="C725" s="58" t="s">
        <v>165</v>
      </c>
      <c r="D725" s="58" t="s"/>
      <c r="E725" s="59" t="s">
        <v>2090</v>
      </c>
      <c r="F725" s="53" t="s"/>
      <c r="G725" s="53" t="s"/>
      <c r="H725" s="53" t="s"/>
      <c r="I725" s="53" t="s"/>
      <c r="J725" s="53" t="s"/>
      <c r="K725" s="53" t="s"/>
      <c r="L725" s="53" t="s"/>
      <c r="M725" s="53" t="s"/>
      <c r="N725" s="53" t="s"/>
      <c r="O725" s="53" t="s"/>
      <c r="P725" s="53" t="s"/>
      <c r="Q725" s="53" t="s"/>
      <c r="R725" s="53" t="s"/>
      <c r="S725" s="53" t="s"/>
      <c r="T725" s="53" t="s"/>
      <c r="U725" s="53" t="s"/>
      <c r="V725" s="53" t="s"/>
      <c r="W725" s="53" t="s"/>
      <c r="X725" s="53" t="s"/>
      <c r="Y725" s="53" t="s"/>
      <c r="Z725" s="53" t="s"/>
    </row>
    <row r="726" spans="1:26" ht="16.8" customHeight="true">
      <c r="A726" s="57" t="s">
        <v>2811</v>
      </c>
      <c r="B726" s="58" t="s">
        <v>2091</v>
      </c>
      <c r="C726" s="58" t="s">
        <v>880</v>
      </c>
      <c r="D726" s="58" t="s">
        <v>232</v>
      </c>
      <c r="E726" s="59" t="s">
        <v>895</v>
      </c>
      <c r="F726" s="53" t="s"/>
      <c r="G726" s="53" t="s"/>
      <c r="H726" s="53" t="s"/>
      <c r="I726" s="53" t="s"/>
      <c r="J726" s="53" t="s"/>
      <c r="K726" s="53" t="s"/>
      <c r="L726" s="53" t="s"/>
      <c r="M726" s="53" t="s"/>
      <c r="N726" s="53" t="s"/>
      <c r="O726" s="53" t="s"/>
      <c r="P726" s="53" t="s"/>
      <c r="Q726" s="53" t="s"/>
      <c r="R726" s="53" t="s"/>
      <c r="S726" s="53" t="s"/>
      <c r="T726" s="53" t="s"/>
      <c r="U726" s="53" t="s"/>
      <c r="V726" s="53" t="s"/>
      <c r="W726" s="53" t="s"/>
      <c r="X726" s="53" t="s"/>
      <c r="Y726" s="53" t="s"/>
      <c r="Z726" s="53" t="s"/>
    </row>
    <row r="727" spans="1:26" ht="16.8" customHeight="true">
      <c r="A727" s="57" t="s">
        <v>2812</v>
      </c>
      <c r="B727" s="58" t="s">
        <v>2092</v>
      </c>
      <c r="C727" s="58" t="s">
        <v>165</v>
      </c>
      <c r="D727" s="58" t="s"/>
      <c r="E727" s="59" t="s">
        <v>2093</v>
      </c>
      <c r="F727" s="53" t="s"/>
      <c r="G727" s="53" t="s"/>
      <c r="H727" s="53" t="s"/>
      <c r="I727" s="53" t="s"/>
      <c r="J727" s="53" t="s"/>
      <c r="K727" s="53" t="s"/>
      <c r="L727" s="53" t="s"/>
      <c r="M727" s="53" t="s"/>
      <c r="N727" s="53" t="s"/>
      <c r="O727" s="53" t="s"/>
      <c r="P727" s="53" t="s"/>
      <c r="Q727" s="53" t="s"/>
      <c r="R727" s="53" t="s"/>
      <c r="S727" s="53" t="s"/>
      <c r="T727" s="53" t="s"/>
      <c r="U727" s="53" t="s"/>
      <c r="V727" s="53" t="s"/>
      <c r="W727" s="53" t="s"/>
      <c r="X727" s="53" t="s"/>
      <c r="Y727" s="53" t="s"/>
      <c r="Z727" s="53" t="s"/>
    </row>
    <row r="728" spans="1:26" ht="16.8" customHeight="true">
      <c r="A728" s="57" t="s">
        <v>2813</v>
      </c>
      <c r="B728" s="58" t="s">
        <v>2094</v>
      </c>
      <c r="C728" s="58" t="s">
        <v>165</v>
      </c>
      <c r="D728" s="58" t="s"/>
      <c r="E728" s="59" t="s">
        <v>2095</v>
      </c>
      <c r="F728" s="53" t="s"/>
      <c r="G728" s="53" t="s"/>
      <c r="H728" s="53" t="s"/>
      <c r="I728" s="53" t="s"/>
      <c r="J728" s="53" t="s"/>
      <c r="K728" s="53" t="s"/>
      <c r="L728" s="53" t="s"/>
      <c r="M728" s="53" t="s"/>
      <c r="N728" s="53" t="s"/>
      <c r="O728" s="53" t="s"/>
      <c r="P728" s="53" t="s"/>
      <c r="Q728" s="53" t="s"/>
      <c r="R728" s="53" t="s"/>
      <c r="S728" s="53" t="s"/>
      <c r="T728" s="53" t="s"/>
      <c r="U728" s="53" t="s"/>
      <c r="V728" s="53" t="s"/>
      <c r="W728" s="53" t="s"/>
      <c r="X728" s="53" t="s"/>
      <c r="Y728" s="53" t="s"/>
      <c r="Z728" s="53" t="s"/>
    </row>
    <row r="729" spans="1:26" ht="16.8" customHeight="true">
      <c r="A729" s="57" t="s">
        <v>2814</v>
      </c>
      <c r="B729" s="58" t="s">
        <v>1198</v>
      </c>
      <c r="C729" s="58" t="s">
        <v>165</v>
      </c>
      <c r="D729" s="58" t="s"/>
      <c r="E729" s="59" t="s">
        <v>1806</v>
      </c>
      <c r="F729" s="53" t="s"/>
      <c r="G729" s="53" t="s"/>
      <c r="H729" s="53" t="s"/>
      <c r="I729" s="53" t="s"/>
      <c r="J729" s="53" t="s"/>
      <c r="K729" s="53" t="s"/>
      <c r="L729" s="53" t="s"/>
      <c r="M729" s="53" t="s"/>
      <c r="N729" s="53" t="s"/>
      <c r="O729" s="53" t="s"/>
      <c r="P729" s="53" t="s"/>
      <c r="Q729" s="53" t="s"/>
      <c r="R729" s="53" t="s"/>
      <c r="S729" s="53" t="s"/>
      <c r="T729" s="53" t="s"/>
      <c r="U729" s="53" t="s"/>
      <c r="V729" s="53" t="s"/>
      <c r="W729" s="53" t="s"/>
      <c r="X729" s="53" t="s"/>
      <c r="Y729" s="53" t="s"/>
      <c r="Z729" s="53" t="s"/>
    </row>
    <row r="730" spans="1:26" ht="16.8" customHeight="true">
      <c r="A730" s="57" t="s">
        <v>2815</v>
      </c>
      <c r="B730" s="58" t="s">
        <v>2096</v>
      </c>
      <c r="C730" s="58" t="s">
        <v>165</v>
      </c>
      <c r="D730" s="58" t="s"/>
      <c r="E730" s="59" t="s">
        <v>2097</v>
      </c>
      <c r="F730" s="53" t="s"/>
      <c r="G730" s="53" t="s"/>
      <c r="H730" s="53" t="s"/>
      <c r="I730" s="53" t="s"/>
      <c r="J730" s="53" t="s"/>
      <c r="K730" s="53" t="s"/>
      <c r="L730" s="53" t="s"/>
      <c r="M730" s="53" t="s"/>
      <c r="N730" s="53" t="s"/>
      <c r="O730" s="53" t="s"/>
      <c r="P730" s="53" t="s"/>
      <c r="Q730" s="53" t="s"/>
      <c r="R730" s="53" t="s"/>
      <c r="S730" s="53" t="s"/>
      <c r="T730" s="53" t="s"/>
      <c r="U730" s="53" t="s"/>
      <c r="V730" s="53" t="s"/>
      <c r="W730" s="53" t="s"/>
      <c r="X730" s="53" t="s"/>
      <c r="Y730" s="53" t="s"/>
      <c r="Z730" s="53" t="s"/>
    </row>
    <row r="731" spans="1:26" ht="16.8" customHeight="true">
      <c r="A731" s="57" t="s">
        <v>2816</v>
      </c>
      <c r="B731" s="58" t="s">
        <v>531</v>
      </c>
      <c r="C731" s="58" t="s">
        <v>165</v>
      </c>
      <c r="D731" s="58" t="s">
        <v>1248</v>
      </c>
      <c r="E731" s="59" t="s">
        <v>652</v>
      </c>
      <c r="F731" s="53" t="s"/>
      <c r="G731" s="53" t="s"/>
      <c r="H731" s="53" t="s"/>
      <c r="I731" s="53" t="s"/>
      <c r="J731" s="53" t="s"/>
      <c r="K731" s="53" t="s"/>
      <c r="L731" s="53" t="s"/>
      <c r="M731" s="53" t="s"/>
      <c r="N731" s="53" t="s"/>
      <c r="O731" s="53" t="s"/>
      <c r="P731" s="53" t="s"/>
      <c r="Q731" s="53" t="s"/>
      <c r="R731" s="53" t="s"/>
      <c r="S731" s="53" t="s"/>
      <c r="T731" s="53" t="s"/>
      <c r="U731" s="53" t="s"/>
      <c r="V731" s="53" t="s"/>
      <c r="W731" s="53" t="s"/>
      <c r="X731" s="53" t="s"/>
      <c r="Y731" s="53" t="s"/>
      <c r="Z731" s="53" t="s"/>
    </row>
    <row r="732" spans="1:26" ht="16.8" customHeight="true">
      <c r="A732" s="57" t="s">
        <v>2817</v>
      </c>
      <c r="B732" s="58" t="s">
        <v>2098</v>
      </c>
      <c r="C732" s="58" t="s">
        <v>165</v>
      </c>
      <c r="D732" s="58" t="s"/>
      <c r="E732" s="59" t="s">
        <v>2099</v>
      </c>
      <c r="F732" s="53" t="s"/>
      <c r="G732" s="53" t="s"/>
      <c r="H732" s="53" t="s"/>
      <c r="I732" s="53" t="s"/>
      <c r="J732" s="53" t="s"/>
      <c r="K732" s="53" t="s"/>
      <c r="L732" s="53" t="s"/>
      <c r="M732" s="53" t="s"/>
      <c r="N732" s="53" t="s"/>
      <c r="O732" s="53" t="s"/>
      <c r="P732" s="53" t="s"/>
      <c r="Q732" s="53" t="s"/>
      <c r="R732" s="53" t="s"/>
      <c r="S732" s="53" t="s"/>
      <c r="T732" s="53" t="s"/>
      <c r="U732" s="53" t="s"/>
      <c r="V732" s="53" t="s"/>
      <c r="W732" s="53" t="s"/>
      <c r="X732" s="53" t="s"/>
      <c r="Y732" s="53" t="s"/>
      <c r="Z732" s="53" t="s"/>
    </row>
    <row r="733" spans="1:26" ht="16.8" customHeight="true">
      <c r="A733" s="57" t="s">
        <v>2818</v>
      </c>
      <c r="B733" s="58" t="s">
        <v>2100</v>
      </c>
      <c r="C733" s="58" t="s">
        <v>165</v>
      </c>
      <c r="D733" s="58" t="s"/>
      <c r="E733" s="59" t="s">
        <v>2038</v>
      </c>
      <c r="F733" s="53" t="s"/>
      <c r="G733" s="53" t="s"/>
      <c r="H733" s="53" t="s"/>
      <c r="I733" s="53" t="s"/>
      <c r="J733" s="53" t="s"/>
      <c r="K733" s="53" t="s"/>
      <c r="L733" s="53" t="s"/>
      <c r="M733" s="53" t="s"/>
      <c r="N733" s="53" t="s"/>
      <c r="O733" s="53" t="s"/>
      <c r="P733" s="53" t="s"/>
      <c r="Q733" s="53" t="s"/>
      <c r="R733" s="53" t="s"/>
      <c r="S733" s="53" t="s"/>
      <c r="T733" s="53" t="s"/>
      <c r="U733" s="53" t="s"/>
      <c r="V733" s="53" t="s"/>
      <c r="W733" s="53" t="s"/>
      <c r="X733" s="53" t="s"/>
      <c r="Y733" s="53" t="s"/>
      <c r="Z733" s="53" t="s"/>
    </row>
    <row r="734" spans="1:26" ht="16.8" customHeight="true">
      <c r="A734" s="57" t="s">
        <v>2819</v>
      </c>
      <c r="B734" s="58" t="s">
        <v>2101</v>
      </c>
      <c r="C734" s="58" t="s">
        <v>152</v>
      </c>
      <c r="D734" s="58" t="s">
        <v>528</v>
      </c>
      <c r="E734" s="59" t="s">
        <v>2102</v>
      </c>
      <c r="F734" s="53" t="s"/>
      <c r="G734" s="53" t="s"/>
      <c r="H734" s="53" t="s"/>
      <c r="I734" s="53" t="s"/>
      <c r="J734" s="53" t="s"/>
      <c r="K734" s="53" t="s"/>
      <c r="L734" s="53" t="s"/>
      <c r="M734" s="53" t="s"/>
      <c r="N734" s="53" t="s"/>
      <c r="O734" s="53" t="s"/>
      <c r="P734" s="53" t="s"/>
      <c r="Q734" s="53" t="s"/>
      <c r="R734" s="53" t="s"/>
      <c r="S734" s="53" t="s"/>
      <c r="T734" s="53" t="s"/>
      <c r="U734" s="53" t="s"/>
      <c r="V734" s="53" t="s"/>
      <c r="W734" s="53" t="s"/>
      <c r="X734" s="53" t="s"/>
      <c r="Y734" s="53" t="s"/>
      <c r="Z734" s="53" t="s"/>
    </row>
    <row r="735" spans="1:26" ht="16.8" customHeight="true">
      <c r="A735" s="57" t="s">
        <v>2820</v>
      </c>
      <c r="B735" s="58" t="s">
        <v>2103</v>
      </c>
      <c r="C735" s="58" t="s">
        <v>165</v>
      </c>
      <c r="D735" s="58" t="s"/>
      <c r="E735" s="59" t="s">
        <v>2104</v>
      </c>
      <c r="F735" s="53" t="s"/>
      <c r="G735" s="53" t="s"/>
      <c r="H735" s="53" t="s"/>
      <c r="I735" s="53" t="s"/>
      <c r="J735" s="53" t="s"/>
      <c r="K735" s="53" t="s"/>
      <c r="L735" s="53" t="s"/>
      <c r="M735" s="53" t="s"/>
      <c r="N735" s="53" t="s"/>
      <c r="O735" s="53" t="s"/>
      <c r="P735" s="53" t="s"/>
      <c r="Q735" s="53" t="s"/>
      <c r="R735" s="53" t="s"/>
      <c r="S735" s="53" t="s"/>
      <c r="T735" s="53" t="s"/>
      <c r="U735" s="53" t="s"/>
      <c r="V735" s="53" t="s"/>
      <c r="W735" s="53" t="s"/>
      <c r="X735" s="53" t="s"/>
      <c r="Y735" s="53" t="s"/>
      <c r="Z735" s="53" t="s"/>
    </row>
    <row r="736" spans="1:26" ht="16.8" customHeight="true">
      <c r="A736" s="57" t="s">
        <v>2821</v>
      </c>
      <c r="B736" s="58" t="s">
        <v>2105</v>
      </c>
      <c r="C736" s="58" t="s">
        <v>165</v>
      </c>
      <c r="D736" s="58" t="s"/>
      <c r="E736" s="59" t="s">
        <v>2106</v>
      </c>
      <c r="F736" s="53" t="s"/>
      <c r="G736" s="53" t="s"/>
      <c r="H736" s="53" t="s"/>
      <c r="I736" s="53" t="s"/>
      <c r="J736" s="53" t="s"/>
      <c r="K736" s="53" t="s"/>
      <c r="L736" s="53" t="s"/>
      <c r="M736" s="53" t="s"/>
      <c r="N736" s="53" t="s"/>
      <c r="O736" s="53" t="s"/>
      <c r="P736" s="53" t="s"/>
      <c r="Q736" s="53" t="s"/>
      <c r="R736" s="53" t="s"/>
      <c r="S736" s="53" t="s"/>
      <c r="T736" s="53" t="s"/>
      <c r="U736" s="53" t="s"/>
      <c r="V736" s="53" t="s"/>
      <c r="W736" s="53" t="s"/>
      <c r="X736" s="53" t="s"/>
      <c r="Y736" s="53" t="s"/>
      <c r="Z736" s="53" t="s"/>
    </row>
    <row r="737" spans="1:26" ht="16.8" customHeight="true">
      <c r="A737" s="57" t="s">
        <v>2822</v>
      </c>
      <c r="B737" s="58" t="s">
        <v>2107</v>
      </c>
      <c r="C737" s="58" t="s">
        <v>165</v>
      </c>
      <c r="D737" s="58" t="s"/>
      <c r="E737" s="59" t="s">
        <v>2108</v>
      </c>
      <c r="F737" s="53" t="s"/>
      <c r="G737" s="53" t="s"/>
      <c r="H737" s="53" t="s"/>
      <c r="I737" s="53" t="s"/>
      <c r="J737" s="53" t="s"/>
      <c r="K737" s="53" t="s"/>
      <c r="L737" s="53" t="s"/>
      <c r="M737" s="53" t="s"/>
      <c r="N737" s="53" t="s"/>
      <c r="O737" s="53" t="s"/>
      <c r="P737" s="53" t="s"/>
      <c r="Q737" s="53" t="s"/>
      <c r="R737" s="53" t="s"/>
      <c r="S737" s="53" t="s"/>
      <c r="T737" s="53" t="s"/>
      <c r="U737" s="53" t="s"/>
      <c r="V737" s="53" t="s"/>
      <c r="W737" s="53" t="s"/>
      <c r="X737" s="53" t="s"/>
      <c r="Y737" s="53" t="s"/>
      <c r="Z737" s="53" t="s"/>
    </row>
    <row r="738" spans="1:26" ht="16.8" customHeight="true">
      <c r="A738" s="57" t="s">
        <v>2823</v>
      </c>
      <c r="B738" s="58" t="s">
        <v>2109</v>
      </c>
      <c r="C738" s="58" t="s">
        <v>165</v>
      </c>
      <c r="D738" s="58" t="s"/>
      <c r="E738" s="59" t="s">
        <v>2110</v>
      </c>
      <c r="F738" s="53" t="s"/>
      <c r="G738" s="53" t="s"/>
      <c r="H738" s="53" t="s"/>
      <c r="I738" s="53" t="s"/>
      <c r="J738" s="53" t="s"/>
      <c r="K738" s="53" t="s"/>
      <c r="L738" s="53" t="s"/>
      <c r="M738" s="53" t="s"/>
      <c r="N738" s="53" t="s"/>
      <c r="O738" s="53" t="s"/>
      <c r="P738" s="53" t="s"/>
      <c r="Q738" s="53" t="s"/>
      <c r="R738" s="53" t="s"/>
      <c r="S738" s="53" t="s"/>
      <c r="T738" s="53" t="s"/>
      <c r="U738" s="53" t="s"/>
      <c r="V738" s="53" t="s"/>
      <c r="W738" s="53" t="s"/>
      <c r="X738" s="53" t="s"/>
      <c r="Y738" s="53" t="s"/>
      <c r="Z738" s="53" t="s"/>
    </row>
    <row r="739" spans="1:26" ht="16.8" customHeight="true">
      <c r="A739" s="57" t="s">
        <v>2824</v>
      </c>
      <c r="B739" s="58" t="s">
        <v>2111</v>
      </c>
      <c r="C739" s="58" t="s">
        <v>797</v>
      </c>
      <c r="D739" s="58" t="s"/>
      <c r="E739" s="59" t="s">
        <v>2112</v>
      </c>
      <c r="F739" s="53" t="s"/>
      <c r="G739" s="53" t="s"/>
      <c r="H739" s="53" t="s"/>
      <c r="I739" s="53" t="s"/>
      <c r="J739" s="53" t="s"/>
      <c r="K739" s="53" t="s"/>
      <c r="L739" s="53" t="s"/>
      <c r="M739" s="53" t="s"/>
      <c r="N739" s="53" t="s"/>
      <c r="O739" s="53" t="s"/>
      <c r="P739" s="53" t="s"/>
      <c r="Q739" s="53" t="s"/>
      <c r="R739" s="53" t="s"/>
      <c r="S739" s="53" t="s"/>
      <c r="T739" s="53" t="s"/>
      <c r="U739" s="53" t="s"/>
      <c r="V739" s="53" t="s"/>
      <c r="W739" s="53" t="s"/>
      <c r="X739" s="53" t="s"/>
      <c r="Y739" s="53" t="s"/>
      <c r="Z739" s="53" t="s"/>
    </row>
    <row r="740" spans="1:26" ht="16.8" customHeight="true">
      <c r="A740" s="57" t="s">
        <v>2825</v>
      </c>
      <c r="B740" s="58" t="s">
        <v>2113</v>
      </c>
      <c r="C740" s="58" t="s">
        <v>165</v>
      </c>
      <c r="D740" s="58" t="s"/>
      <c r="E740" s="59" t="s">
        <v>2114</v>
      </c>
      <c r="F740" s="53" t="s"/>
      <c r="G740" s="53" t="s"/>
      <c r="H740" s="53" t="s"/>
      <c r="I740" s="53" t="s"/>
      <c r="J740" s="53" t="s"/>
      <c r="K740" s="53" t="s"/>
      <c r="L740" s="53" t="s"/>
      <c r="M740" s="53" t="s"/>
      <c r="N740" s="53" t="s"/>
      <c r="O740" s="53" t="s"/>
      <c r="P740" s="53" t="s"/>
      <c r="Q740" s="53" t="s"/>
      <c r="R740" s="53" t="s"/>
      <c r="S740" s="53" t="s"/>
      <c r="T740" s="53" t="s"/>
      <c r="U740" s="53" t="s"/>
      <c r="V740" s="53" t="s"/>
      <c r="W740" s="53" t="s"/>
      <c r="X740" s="53" t="s"/>
      <c r="Y740" s="53" t="s"/>
      <c r="Z740" s="53" t="s"/>
    </row>
    <row r="741" spans="1:26" ht="16.8" customHeight="true">
      <c r="A741" s="57" t="s">
        <v>2826</v>
      </c>
      <c r="B741" s="58" t="s">
        <v>2115</v>
      </c>
      <c r="C741" s="58" t="s">
        <v>2116</v>
      </c>
      <c r="D741" s="58" t="s"/>
      <c r="E741" s="59" t="s">
        <v>2117</v>
      </c>
      <c r="F741" s="53" t="s"/>
      <c r="G741" s="53" t="s"/>
      <c r="H741" s="53" t="s"/>
      <c r="I741" s="53" t="s"/>
      <c r="J741" s="53" t="s"/>
      <c r="K741" s="53" t="s"/>
      <c r="L741" s="53" t="s"/>
      <c r="M741" s="53" t="s"/>
      <c r="N741" s="53" t="s"/>
      <c r="O741" s="53" t="s"/>
      <c r="P741" s="53" t="s"/>
      <c r="Q741" s="53" t="s"/>
      <c r="R741" s="53" t="s"/>
      <c r="S741" s="53" t="s"/>
      <c r="T741" s="53" t="s"/>
      <c r="U741" s="53" t="s"/>
      <c r="V741" s="53" t="s"/>
      <c r="W741" s="53" t="s"/>
      <c r="X741" s="53" t="s"/>
      <c r="Y741" s="53" t="s"/>
      <c r="Z741" s="53" t="s"/>
    </row>
    <row r="742" spans="1:26" ht="16.8" customHeight="true">
      <c r="A742" s="57" t="s">
        <v>2827</v>
      </c>
      <c r="B742" s="58" t="s">
        <v>2118</v>
      </c>
      <c r="C742" s="58" t="s">
        <v>165</v>
      </c>
      <c r="D742" s="58" t="s"/>
      <c r="E742" s="59" t="s">
        <v>2119</v>
      </c>
      <c r="F742" s="53" t="s"/>
      <c r="G742" s="53" t="s"/>
      <c r="H742" s="53" t="s"/>
      <c r="I742" s="53" t="s"/>
      <c r="J742" s="53" t="s"/>
      <c r="K742" s="53" t="s"/>
      <c r="L742" s="53" t="s"/>
      <c r="M742" s="53" t="s"/>
      <c r="N742" s="53" t="s"/>
      <c r="O742" s="53" t="s"/>
      <c r="P742" s="53" t="s"/>
      <c r="Q742" s="53" t="s"/>
      <c r="R742" s="53" t="s"/>
      <c r="S742" s="53" t="s"/>
      <c r="T742" s="53" t="s"/>
      <c r="U742" s="53" t="s"/>
      <c r="V742" s="53" t="s"/>
      <c r="W742" s="53" t="s"/>
      <c r="X742" s="53" t="s"/>
      <c r="Y742" s="53" t="s"/>
      <c r="Z742" s="53" t="s"/>
    </row>
    <row r="743" spans="1:26" ht="16.8" customHeight="true">
      <c r="A743" s="57" t="s">
        <v>2828</v>
      </c>
      <c r="B743" s="58" t="s">
        <v>2120</v>
      </c>
      <c r="C743" s="58" t="s">
        <v>165</v>
      </c>
      <c r="D743" s="58" t="s"/>
      <c r="E743" s="59" t="s">
        <v>2121</v>
      </c>
      <c r="F743" s="53" t="s"/>
      <c r="G743" s="53" t="s"/>
      <c r="H743" s="53" t="s"/>
      <c r="I743" s="53" t="s"/>
      <c r="J743" s="53" t="s"/>
      <c r="K743" s="53" t="s"/>
      <c r="L743" s="53" t="s"/>
      <c r="M743" s="53" t="s"/>
      <c r="N743" s="53" t="s"/>
      <c r="O743" s="53" t="s"/>
      <c r="P743" s="53" t="s"/>
      <c r="Q743" s="53" t="s"/>
      <c r="R743" s="53" t="s"/>
      <c r="S743" s="53" t="s"/>
      <c r="T743" s="53" t="s"/>
      <c r="U743" s="53" t="s"/>
      <c r="V743" s="53" t="s"/>
      <c r="W743" s="53" t="s"/>
      <c r="X743" s="53" t="s"/>
      <c r="Y743" s="53" t="s"/>
      <c r="Z743" s="53" t="s"/>
    </row>
    <row r="744" spans="1:26" ht="16.8" customHeight="true">
      <c r="A744" s="57" t="s">
        <v>2829</v>
      </c>
      <c r="B744" s="58" t="s">
        <v>1667</v>
      </c>
      <c r="C744" s="58" t="s">
        <v>165</v>
      </c>
      <c r="D744" s="58" t="s"/>
      <c r="E744" s="59" t="s">
        <v>2122</v>
      </c>
      <c r="F744" s="53" t="s"/>
      <c r="G744" s="53" t="s"/>
      <c r="H744" s="53" t="s"/>
      <c r="I744" s="53" t="s"/>
      <c r="J744" s="53" t="s"/>
      <c r="K744" s="53" t="s"/>
      <c r="L744" s="53" t="s"/>
      <c r="M744" s="53" t="s"/>
      <c r="N744" s="53" t="s"/>
      <c r="O744" s="53" t="s"/>
      <c r="P744" s="53" t="s"/>
      <c r="Q744" s="53" t="s"/>
      <c r="R744" s="53" t="s"/>
      <c r="S744" s="53" t="s"/>
      <c r="T744" s="53" t="s"/>
      <c r="U744" s="53" t="s"/>
      <c r="V744" s="53" t="s"/>
      <c r="W744" s="53" t="s"/>
      <c r="X744" s="53" t="s"/>
      <c r="Y744" s="53" t="s"/>
      <c r="Z744" s="53" t="s"/>
    </row>
    <row r="745" spans="1:26" ht="16.8" customHeight="true">
      <c r="A745" s="57" t="s">
        <v>2830</v>
      </c>
      <c r="B745" s="58" t="s">
        <v>2123</v>
      </c>
      <c r="C745" s="58" t="s">
        <v>165</v>
      </c>
      <c r="D745" s="58" t="s"/>
      <c r="E745" s="59" t="s">
        <v>2124</v>
      </c>
      <c r="F745" s="53" t="s"/>
      <c r="G745" s="53" t="s"/>
      <c r="H745" s="53" t="s"/>
      <c r="I745" s="53" t="s"/>
      <c r="J745" s="53" t="s"/>
      <c r="K745" s="53" t="s"/>
      <c r="L745" s="53" t="s"/>
      <c r="M745" s="53" t="s"/>
      <c r="N745" s="53" t="s"/>
      <c r="O745" s="53" t="s"/>
      <c r="P745" s="53" t="s"/>
      <c r="Q745" s="53" t="s"/>
      <c r="R745" s="53" t="s"/>
      <c r="S745" s="53" t="s"/>
      <c r="T745" s="53" t="s"/>
      <c r="U745" s="53" t="s"/>
      <c r="V745" s="53" t="s"/>
      <c r="W745" s="53" t="s"/>
      <c r="X745" s="53" t="s"/>
      <c r="Y745" s="53" t="s"/>
      <c r="Z745" s="53" t="s"/>
    </row>
    <row r="746" spans="1:26" ht="16.8" customHeight="true">
      <c r="A746" s="57" t="s">
        <v>2831</v>
      </c>
      <c r="B746" s="58" t="s">
        <v>2125</v>
      </c>
      <c r="C746" s="58" t="s">
        <v>443</v>
      </c>
      <c r="D746" s="58" t="s"/>
      <c r="E746" s="59" t="s">
        <v>2126</v>
      </c>
      <c r="F746" s="53" t="s"/>
      <c r="G746" s="53" t="s"/>
      <c r="H746" s="53" t="s"/>
      <c r="I746" s="53" t="s"/>
      <c r="J746" s="53" t="s"/>
      <c r="K746" s="53" t="s"/>
      <c r="L746" s="53" t="s"/>
      <c r="M746" s="53" t="s"/>
      <c r="N746" s="53" t="s"/>
      <c r="O746" s="53" t="s"/>
      <c r="P746" s="53" t="s"/>
      <c r="Q746" s="53" t="s"/>
      <c r="R746" s="53" t="s"/>
      <c r="S746" s="53" t="s"/>
      <c r="T746" s="53" t="s"/>
      <c r="U746" s="53" t="s"/>
      <c r="V746" s="53" t="s"/>
      <c r="W746" s="53" t="s"/>
      <c r="X746" s="53" t="s"/>
      <c r="Y746" s="53" t="s"/>
      <c r="Z746" s="53" t="s"/>
    </row>
    <row r="747" spans="1:26" ht="16.8" customHeight="true">
      <c r="A747" s="57" t="s">
        <v>2832</v>
      </c>
      <c r="B747" s="58" t="s">
        <v>2127</v>
      </c>
      <c r="C747" s="58" t="s">
        <v>165</v>
      </c>
      <c r="D747" s="58" t="s"/>
      <c r="E747" s="59" t="s">
        <v>2128</v>
      </c>
      <c r="F747" s="53" t="s"/>
      <c r="G747" s="53" t="s"/>
      <c r="H747" s="53" t="s"/>
      <c r="I747" s="53" t="s"/>
      <c r="J747" s="53" t="s"/>
      <c r="K747" s="53" t="s"/>
      <c r="L747" s="53" t="s"/>
      <c r="M747" s="53" t="s"/>
      <c r="N747" s="53" t="s"/>
      <c r="O747" s="53" t="s"/>
      <c r="P747" s="53" t="s"/>
      <c r="Q747" s="53" t="s"/>
      <c r="R747" s="53" t="s"/>
      <c r="S747" s="53" t="s"/>
      <c r="T747" s="53" t="s"/>
      <c r="U747" s="53" t="s"/>
      <c r="V747" s="53" t="s"/>
      <c r="W747" s="53" t="s"/>
      <c r="X747" s="53" t="s"/>
      <c r="Y747" s="53" t="s"/>
      <c r="Z747" s="53" t="s"/>
    </row>
    <row r="748" spans="1:26" ht="16.8" customHeight="true">
      <c r="A748" s="57" t="s">
        <v>2833</v>
      </c>
      <c r="B748" s="58" t="s">
        <v>2129</v>
      </c>
      <c r="C748" s="58" t="s">
        <v>165</v>
      </c>
      <c r="D748" s="58" t="s"/>
      <c r="E748" s="59" t="s">
        <v>1499</v>
      </c>
      <c r="F748" s="53" t="s"/>
      <c r="G748" s="53" t="s"/>
      <c r="H748" s="53" t="s"/>
      <c r="I748" s="53" t="s"/>
      <c r="J748" s="53" t="s"/>
      <c r="K748" s="53" t="s"/>
      <c r="L748" s="53" t="s"/>
      <c r="M748" s="53" t="s"/>
      <c r="N748" s="53" t="s"/>
      <c r="O748" s="53" t="s"/>
      <c r="P748" s="53" t="s"/>
      <c r="Q748" s="53" t="s"/>
      <c r="R748" s="53" t="s"/>
      <c r="S748" s="53" t="s"/>
      <c r="T748" s="53" t="s"/>
      <c r="U748" s="53" t="s"/>
      <c r="V748" s="53" t="s"/>
      <c r="W748" s="53" t="s"/>
      <c r="X748" s="53" t="s"/>
      <c r="Y748" s="53" t="s"/>
      <c r="Z748" s="53" t="s"/>
    </row>
    <row r="749" spans="1:26" ht="16.8" customHeight="true">
      <c r="A749" s="57" t="s">
        <v>2834</v>
      </c>
      <c r="B749" s="58" t="s">
        <v>1280</v>
      </c>
      <c r="C749" s="58" t="s">
        <v>152</v>
      </c>
      <c r="D749" s="58" t="s">
        <v>528</v>
      </c>
      <c r="E749" s="59" t="s">
        <v>288</v>
      </c>
      <c r="F749" s="53" t="s"/>
      <c r="G749" s="53" t="s"/>
      <c r="H749" s="53" t="s"/>
      <c r="I749" s="53" t="s"/>
      <c r="J749" s="53" t="s"/>
      <c r="K749" s="53" t="s"/>
      <c r="L749" s="53" t="s"/>
      <c r="M749" s="53" t="s"/>
      <c r="N749" s="53" t="s"/>
      <c r="O749" s="53" t="s"/>
      <c r="P749" s="53" t="s"/>
      <c r="Q749" s="53" t="s"/>
      <c r="R749" s="53" t="s"/>
      <c r="S749" s="53" t="s"/>
      <c r="T749" s="53" t="s"/>
      <c r="U749" s="53" t="s"/>
      <c r="V749" s="53" t="s"/>
      <c r="W749" s="53" t="s"/>
      <c r="X749" s="53" t="s"/>
      <c r="Y749" s="53" t="s"/>
      <c r="Z749" s="53" t="s"/>
    </row>
    <row r="750" spans="1:26" ht="16.8" customHeight="true">
      <c r="A750" s="57" t="s">
        <v>2835</v>
      </c>
      <c r="B750" s="58" t="s">
        <v>2130</v>
      </c>
      <c r="C750" s="58" t="s">
        <v>395</v>
      </c>
      <c r="D750" s="58" t="s">
        <v>232</v>
      </c>
      <c r="E750" s="59" t="s">
        <v>2131</v>
      </c>
      <c r="F750" s="53" t="s"/>
      <c r="G750" s="53" t="s"/>
      <c r="H750" s="53" t="s"/>
      <c r="I750" s="53" t="s"/>
      <c r="J750" s="53" t="s"/>
      <c r="K750" s="53" t="s"/>
      <c r="L750" s="53" t="s"/>
      <c r="M750" s="53" t="s"/>
      <c r="N750" s="53" t="s"/>
      <c r="O750" s="53" t="s"/>
      <c r="P750" s="53" t="s"/>
      <c r="Q750" s="53" t="s"/>
      <c r="R750" s="53" t="s"/>
      <c r="S750" s="53" t="s"/>
      <c r="T750" s="53" t="s"/>
      <c r="U750" s="53" t="s"/>
      <c r="V750" s="53" t="s"/>
      <c r="W750" s="53" t="s"/>
      <c r="X750" s="53" t="s"/>
      <c r="Y750" s="53" t="s"/>
      <c r="Z750" s="53" t="s"/>
    </row>
    <row r="751" spans="1:26" ht="16.8" customHeight="true">
      <c r="A751" s="57" t="s">
        <v>2836</v>
      </c>
      <c r="B751" s="58" t="s">
        <v>2132</v>
      </c>
      <c r="C751" s="58" t="s">
        <v>702</v>
      </c>
      <c r="D751" s="58" t="s">
        <v>153</v>
      </c>
      <c r="E751" s="59" t="s">
        <v>2133</v>
      </c>
      <c r="F751" s="53" t="s"/>
      <c r="G751" s="53" t="s"/>
      <c r="H751" s="53" t="s"/>
      <c r="I751" s="53" t="s"/>
      <c r="J751" s="53" t="s"/>
      <c r="K751" s="53" t="s"/>
      <c r="L751" s="53" t="s"/>
      <c r="M751" s="53" t="s"/>
      <c r="N751" s="53" t="s"/>
      <c r="O751" s="53" t="s"/>
      <c r="P751" s="53" t="s"/>
      <c r="Q751" s="53" t="s"/>
      <c r="R751" s="53" t="s"/>
      <c r="S751" s="53" t="s"/>
      <c r="T751" s="53" t="s"/>
      <c r="U751" s="53" t="s"/>
      <c r="V751" s="53" t="s"/>
      <c r="W751" s="53" t="s"/>
      <c r="X751" s="53" t="s"/>
      <c r="Y751" s="53" t="s"/>
      <c r="Z751" s="53" t="s"/>
    </row>
    <row r="752" spans="1:26" ht="16.8" customHeight="true">
      <c r="A752" s="57" t="s">
        <v>2837</v>
      </c>
      <c r="B752" s="58" t="s">
        <v>2134</v>
      </c>
      <c r="C752" s="58" t="s">
        <v>165</v>
      </c>
      <c r="D752" s="58" t="s"/>
      <c r="E752" s="59" t="s">
        <v>2135</v>
      </c>
      <c r="F752" s="53" t="s"/>
      <c r="G752" s="53" t="s"/>
      <c r="H752" s="53" t="s"/>
      <c r="I752" s="53" t="s"/>
      <c r="J752" s="53" t="s"/>
      <c r="K752" s="53" t="s"/>
      <c r="L752" s="53" t="s"/>
      <c r="M752" s="53" t="s"/>
      <c r="N752" s="53" t="s"/>
      <c r="O752" s="53" t="s"/>
      <c r="P752" s="53" t="s"/>
      <c r="Q752" s="53" t="s"/>
      <c r="R752" s="53" t="s"/>
      <c r="S752" s="53" t="s"/>
      <c r="T752" s="53" t="s"/>
      <c r="U752" s="53" t="s"/>
      <c r="V752" s="53" t="s"/>
      <c r="W752" s="53" t="s"/>
      <c r="X752" s="53" t="s"/>
      <c r="Y752" s="53" t="s"/>
      <c r="Z752" s="53" t="s"/>
    </row>
    <row r="753" spans="1:26" ht="16.8" customHeight="true">
      <c r="A753" s="57" t="s">
        <v>2838</v>
      </c>
      <c r="B753" s="58" t="s">
        <v>2136</v>
      </c>
      <c r="C753" s="58" t="s">
        <v>263</v>
      </c>
      <c r="D753" s="58" t="s">
        <v>170</v>
      </c>
      <c r="E753" s="59" t="s">
        <v>2137</v>
      </c>
      <c r="F753" s="53" t="s"/>
      <c r="G753" s="53" t="s"/>
      <c r="H753" s="53" t="s"/>
      <c r="I753" s="53" t="s"/>
      <c r="J753" s="53" t="s"/>
      <c r="K753" s="53" t="s"/>
      <c r="L753" s="53" t="s"/>
      <c r="M753" s="53" t="s"/>
      <c r="N753" s="53" t="s"/>
      <c r="O753" s="53" t="s"/>
      <c r="P753" s="53" t="s"/>
      <c r="Q753" s="53" t="s"/>
      <c r="R753" s="53" t="s"/>
      <c r="S753" s="53" t="s"/>
      <c r="T753" s="53" t="s"/>
      <c r="U753" s="53" t="s"/>
      <c r="V753" s="53" t="s"/>
      <c r="W753" s="53" t="s"/>
      <c r="X753" s="53" t="s"/>
      <c r="Y753" s="53" t="s"/>
      <c r="Z753" s="53" t="s"/>
    </row>
    <row r="754" spans="1:26" ht="16.8" customHeight="true">
      <c r="A754" s="57" t="s">
        <v>2839</v>
      </c>
      <c r="B754" s="58" t="s">
        <v>2138</v>
      </c>
      <c r="C754" s="58" t="s">
        <v>263</v>
      </c>
      <c r="D754" s="58" t="s">
        <v>153</v>
      </c>
      <c r="E754" s="59" t="s">
        <v>2139</v>
      </c>
      <c r="F754" s="53" t="s"/>
      <c r="G754" s="53" t="s"/>
      <c r="H754" s="53" t="s"/>
      <c r="I754" s="53" t="s"/>
      <c r="J754" s="53" t="s"/>
      <c r="K754" s="53" t="s"/>
      <c r="L754" s="53" t="s"/>
      <c r="M754" s="53" t="s"/>
      <c r="N754" s="53" t="s"/>
      <c r="O754" s="53" t="s"/>
      <c r="P754" s="53" t="s"/>
      <c r="Q754" s="53" t="s"/>
      <c r="R754" s="53" t="s"/>
      <c r="S754" s="53" t="s"/>
      <c r="T754" s="53" t="s"/>
      <c r="U754" s="53" t="s"/>
      <c r="V754" s="53" t="s"/>
      <c r="W754" s="53" t="s"/>
      <c r="X754" s="53" t="s"/>
      <c r="Y754" s="53" t="s"/>
      <c r="Z754" s="53" t="s"/>
    </row>
    <row r="755" spans="1:26" ht="16.8" customHeight="true">
      <c r="A755" s="57" t="s">
        <v>2840</v>
      </c>
      <c r="B755" s="58" t="s">
        <v>917</v>
      </c>
      <c r="C755" s="58" t="s">
        <v>443</v>
      </c>
      <c r="D755" s="58" t="s">
        <v>1248</v>
      </c>
      <c r="E755" s="59" t="s">
        <v>2140</v>
      </c>
      <c r="F755" s="53" t="s"/>
      <c r="G755" s="53" t="s"/>
      <c r="H755" s="53" t="s"/>
      <c r="I755" s="53" t="s"/>
      <c r="J755" s="53" t="s"/>
      <c r="K755" s="53" t="s"/>
      <c r="L755" s="53" t="s"/>
      <c r="M755" s="53" t="s"/>
      <c r="N755" s="53" t="s"/>
      <c r="O755" s="53" t="s"/>
      <c r="P755" s="53" t="s"/>
      <c r="Q755" s="53" t="s"/>
      <c r="R755" s="53" t="s"/>
      <c r="S755" s="53" t="s"/>
      <c r="T755" s="53" t="s"/>
      <c r="U755" s="53" t="s"/>
      <c r="V755" s="53" t="s"/>
      <c r="W755" s="53" t="s"/>
      <c r="X755" s="53" t="s"/>
      <c r="Y755" s="53" t="s"/>
      <c r="Z755" s="53" t="s"/>
    </row>
    <row r="756" spans="1:26" ht="16.8" customHeight="true">
      <c r="A756" s="57" t="s">
        <v>2841</v>
      </c>
      <c r="B756" s="58" t="s">
        <v>2141</v>
      </c>
      <c r="C756" s="58" t="s">
        <v>165</v>
      </c>
      <c r="D756" s="58" t="s">
        <v>170</v>
      </c>
      <c r="E756" s="59" t="s">
        <v>288</v>
      </c>
      <c r="F756" s="53" t="s"/>
      <c r="G756" s="53" t="s"/>
      <c r="H756" s="53" t="s"/>
      <c r="I756" s="53" t="s"/>
      <c r="J756" s="53" t="s"/>
      <c r="K756" s="53" t="s"/>
      <c r="L756" s="53" t="s"/>
      <c r="M756" s="53" t="s"/>
      <c r="N756" s="53" t="s"/>
      <c r="O756" s="53" t="s"/>
      <c r="P756" s="53" t="s"/>
      <c r="Q756" s="53" t="s"/>
      <c r="R756" s="53" t="s"/>
      <c r="S756" s="53" t="s"/>
      <c r="T756" s="53" t="s"/>
      <c r="U756" s="53" t="s"/>
      <c r="V756" s="53" t="s"/>
      <c r="W756" s="53" t="s"/>
      <c r="X756" s="53" t="s"/>
      <c r="Y756" s="53" t="s"/>
      <c r="Z756" s="53" t="s"/>
    </row>
    <row r="757" spans="1:26" ht="16.8" customHeight="true">
      <c r="A757" s="57" t="s">
        <v>2842</v>
      </c>
      <c r="B757" s="58" t="s">
        <v>2142</v>
      </c>
      <c r="C757" s="58" t="s">
        <v>165</v>
      </c>
      <c r="D757" s="58" t="s"/>
      <c r="E757" s="59" t="s">
        <v>2143</v>
      </c>
      <c r="F757" s="53" t="s"/>
      <c r="G757" s="53" t="s"/>
      <c r="H757" s="53" t="s"/>
      <c r="I757" s="53" t="s"/>
      <c r="J757" s="53" t="s"/>
      <c r="K757" s="53" t="s"/>
      <c r="L757" s="53" t="s"/>
      <c r="M757" s="53" t="s"/>
      <c r="N757" s="53" t="s"/>
      <c r="O757" s="53" t="s"/>
      <c r="P757" s="53" t="s"/>
      <c r="Q757" s="53" t="s"/>
      <c r="R757" s="53" t="s"/>
      <c r="S757" s="53" t="s"/>
      <c r="T757" s="53" t="s"/>
      <c r="U757" s="53" t="s"/>
      <c r="V757" s="53" t="s"/>
      <c r="W757" s="53" t="s"/>
      <c r="X757" s="53" t="s"/>
      <c r="Y757" s="53" t="s"/>
      <c r="Z757" s="53" t="s"/>
    </row>
    <row r="758" spans="1:26" ht="16.8" customHeight="true">
      <c r="A758" s="57" t="s">
        <v>2843</v>
      </c>
      <c r="B758" s="58" t="s">
        <v>2144</v>
      </c>
      <c r="C758" s="58" t="s">
        <v>165</v>
      </c>
      <c r="D758" s="58" t="s"/>
      <c r="E758" s="59" t="s">
        <v>2145</v>
      </c>
      <c r="F758" s="53" t="s"/>
      <c r="G758" s="53" t="s"/>
      <c r="H758" s="53" t="s"/>
      <c r="I758" s="53" t="s"/>
      <c r="J758" s="53" t="s"/>
      <c r="K758" s="53" t="s"/>
      <c r="L758" s="53" t="s"/>
      <c r="M758" s="53" t="s"/>
      <c r="N758" s="53" t="s"/>
      <c r="O758" s="53" t="s"/>
      <c r="P758" s="53" t="s"/>
      <c r="Q758" s="53" t="s"/>
      <c r="R758" s="53" t="s"/>
      <c r="S758" s="53" t="s"/>
      <c r="T758" s="53" t="s"/>
      <c r="U758" s="53" t="s"/>
      <c r="V758" s="53" t="s"/>
      <c r="W758" s="53" t="s"/>
      <c r="X758" s="53" t="s"/>
      <c r="Y758" s="53" t="s"/>
      <c r="Z758" s="53" t="s"/>
    </row>
    <row r="759" spans="1:26" ht="16.8" customHeight="true">
      <c r="A759" s="57" t="s">
        <v>2844</v>
      </c>
      <c r="B759" s="58" t="s">
        <v>1131</v>
      </c>
      <c r="C759" s="58" t="s">
        <v>165</v>
      </c>
      <c r="D759" s="58" t="s"/>
      <c r="E759" s="59" t="s">
        <v>2080</v>
      </c>
      <c r="F759" s="53" t="s"/>
      <c r="G759" s="53" t="s"/>
      <c r="H759" s="53" t="s"/>
      <c r="I759" s="53" t="s"/>
      <c r="J759" s="53" t="s"/>
      <c r="K759" s="53" t="s"/>
      <c r="L759" s="53" t="s"/>
      <c r="M759" s="53" t="s"/>
      <c r="N759" s="53" t="s"/>
      <c r="O759" s="53" t="s"/>
      <c r="P759" s="53" t="s"/>
      <c r="Q759" s="53" t="s"/>
      <c r="R759" s="53" t="s"/>
      <c r="S759" s="53" t="s"/>
      <c r="T759" s="53" t="s"/>
      <c r="U759" s="53" t="s"/>
      <c r="V759" s="53" t="s"/>
      <c r="W759" s="53" t="s"/>
      <c r="X759" s="53" t="s"/>
      <c r="Y759" s="53" t="s"/>
      <c r="Z759" s="53" t="s"/>
    </row>
    <row r="760" spans="1:26" ht="16.8" customHeight="true">
      <c r="A760" s="57" t="s">
        <v>2845</v>
      </c>
      <c r="B760" s="58" t="s">
        <v>2146</v>
      </c>
      <c r="C760" s="58" t="s">
        <v>165</v>
      </c>
      <c r="D760" s="58" t="s"/>
      <c r="E760" s="59" t="s">
        <v>2147</v>
      </c>
      <c r="F760" s="53" t="s"/>
      <c r="G760" s="53" t="s"/>
      <c r="H760" s="53" t="s"/>
      <c r="I760" s="53" t="s"/>
      <c r="J760" s="53" t="s"/>
      <c r="K760" s="53" t="s"/>
      <c r="L760" s="53" t="s"/>
      <c r="M760" s="53" t="s"/>
      <c r="N760" s="53" t="s"/>
      <c r="O760" s="53" t="s"/>
      <c r="P760" s="53" t="s"/>
      <c r="Q760" s="53" t="s"/>
      <c r="R760" s="53" t="s"/>
      <c r="S760" s="53" t="s"/>
      <c r="T760" s="53" t="s"/>
      <c r="U760" s="53" t="s"/>
      <c r="V760" s="53" t="s"/>
      <c r="W760" s="53" t="s"/>
      <c r="X760" s="53" t="s"/>
      <c r="Y760" s="53" t="s"/>
      <c r="Z760" s="53" t="s"/>
    </row>
    <row r="761" spans="1:26" ht="16.8" customHeight="true">
      <c r="A761" s="57" t="s">
        <v>2846</v>
      </c>
      <c r="B761" s="58" t="s">
        <v>2148</v>
      </c>
      <c r="C761" s="58" t="s">
        <v>152</v>
      </c>
      <c r="D761" s="58" t="s">
        <v>528</v>
      </c>
      <c r="E761" s="59" t="s">
        <v>288</v>
      </c>
      <c r="F761" s="53" t="s"/>
      <c r="G761" s="53" t="s"/>
      <c r="H761" s="53" t="s"/>
      <c r="I761" s="53" t="s"/>
      <c r="J761" s="53" t="s"/>
      <c r="K761" s="53" t="s"/>
      <c r="L761" s="53" t="s"/>
      <c r="M761" s="53" t="s"/>
      <c r="N761" s="53" t="s"/>
      <c r="O761" s="53" t="s"/>
      <c r="P761" s="53" t="s"/>
      <c r="Q761" s="53" t="s"/>
      <c r="R761" s="53" t="s"/>
      <c r="S761" s="53" t="s"/>
      <c r="T761" s="53" t="s"/>
      <c r="U761" s="53" t="s"/>
      <c r="V761" s="53" t="s"/>
      <c r="W761" s="53" t="s"/>
      <c r="X761" s="53" t="s"/>
      <c r="Y761" s="53" t="s"/>
      <c r="Z761" s="53" t="s"/>
    </row>
    <row r="762" spans="1:26" ht="16.8" customHeight="true">
      <c r="A762" s="57" t="s">
        <v>2847</v>
      </c>
      <c r="B762" s="58" t="s">
        <v>186</v>
      </c>
      <c r="C762" s="58" t="s">
        <v>165</v>
      </c>
      <c r="D762" s="58" t="s">
        <v>918</v>
      </c>
      <c r="E762" s="59" t="s">
        <v>2149</v>
      </c>
      <c r="F762" s="53" t="s"/>
      <c r="G762" s="53" t="s"/>
      <c r="H762" s="53" t="s"/>
      <c r="I762" s="53" t="s"/>
      <c r="J762" s="53" t="s"/>
      <c r="K762" s="53" t="s"/>
      <c r="L762" s="53" t="s"/>
      <c r="M762" s="53" t="s"/>
      <c r="N762" s="53" t="s"/>
      <c r="O762" s="53" t="s"/>
      <c r="P762" s="53" t="s"/>
      <c r="Q762" s="53" t="s"/>
      <c r="R762" s="53" t="s"/>
      <c r="S762" s="53" t="s"/>
      <c r="T762" s="53" t="s"/>
      <c r="U762" s="53" t="s"/>
      <c r="V762" s="53" t="s"/>
      <c r="W762" s="53" t="s"/>
      <c r="X762" s="53" t="s"/>
      <c r="Y762" s="53" t="s"/>
      <c r="Z762" s="53" t="s"/>
    </row>
    <row r="763" spans="1:26" ht="16.8" customHeight="true">
      <c r="A763" s="57" t="s">
        <v>2848</v>
      </c>
      <c r="B763" s="58" t="s">
        <v>2150</v>
      </c>
      <c r="C763" s="58" t="s">
        <v>165</v>
      </c>
      <c r="D763" s="58" t="s"/>
      <c r="E763" s="59" t="s">
        <v>2151</v>
      </c>
      <c r="F763" s="53" t="s"/>
      <c r="G763" s="53" t="s"/>
      <c r="H763" s="53" t="s"/>
      <c r="I763" s="53" t="s"/>
      <c r="J763" s="53" t="s"/>
      <c r="K763" s="53" t="s"/>
      <c r="L763" s="53" t="s"/>
      <c r="M763" s="53" t="s"/>
      <c r="N763" s="53" t="s"/>
      <c r="O763" s="53" t="s"/>
      <c r="P763" s="53" t="s"/>
      <c r="Q763" s="53" t="s"/>
      <c r="R763" s="53" t="s"/>
      <c r="S763" s="53" t="s"/>
      <c r="T763" s="53" t="s"/>
      <c r="U763" s="53" t="s"/>
      <c r="V763" s="53" t="s"/>
      <c r="W763" s="53" t="s"/>
      <c r="X763" s="53" t="s"/>
      <c r="Y763" s="53" t="s"/>
      <c r="Z763" s="53" t="s"/>
    </row>
    <row r="764" spans="1:26" ht="16.8" customHeight="true">
      <c r="A764" s="57" t="s">
        <v>2849</v>
      </c>
      <c r="B764" s="58" t="s">
        <v>2152</v>
      </c>
      <c r="C764" s="58" t="s">
        <v>165</v>
      </c>
      <c r="D764" s="58" t="s"/>
      <c r="E764" s="59" t="s">
        <v>2080</v>
      </c>
      <c r="F764" s="53" t="s"/>
      <c r="G764" s="53" t="s"/>
      <c r="H764" s="53" t="s"/>
      <c r="I764" s="53" t="s"/>
      <c r="J764" s="53" t="s"/>
      <c r="K764" s="53" t="s"/>
      <c r="L764" s="53" t="s"/>
      <c r="M764" s="53" t="s"/>
      <c r="N764" s="53" t="s"/>
      <c r="O764" s="53" t="s"/>
      <c r="P764" s="53" t="s"/>
      <c r="Q764" s="53" t="s"/>
      <c r="R764" s="53" t="s"/>
      <c r="S764" s="53" t="s"/>
      <c r="T764" s="53" t="s"/>
      <c r="U764" s="53" t="s"/>
      <c r="V764" s="53" t="s"/>
      <c r="W764" s="53" t="s"/>
      <c r="X764" s="53" t="s"/>
      <c r="Y764" s="53" t="s"/>
      <c r="Z764" s="53" t="s"/>
    </row>
    <row r="765" spans="1:26" ht="16.8" customHeight="true">
      <c r="A765" s="57" t="s">
        <v>2850</v>
      </c>
      <c r="B765" s="58" t="s">
        <v>1529</v>
      </c>
      <c r="C765" s="58" t="s">
        <v>165</v>
      </c>
      <c r="D765" s="58" t="s"/>
      <c r="E765" s="59" t="s">
        <v>2153</v>
      </c>
      <c r="F765" s="53" t="s"/>
      <c r="G765" s="53" t="s"/>
      <c r="H765" s="53" t="s"/>
      <c r="I765" s="53" t="s"/>
      <c r="J765" s="53" t="s"/>
      <c r="K765" s="53" t="s"/>
      <c r="L765" s="53" t="s"/>
      <c r="M765" s="53" t="s"/>
      <c r="N765" s="53" t="s"/>
      <c r="O765" s="53" t="s"/>
      <c r="P765" s="53" t="s"/>
      <c r="Q765" s="53" t="s"/>
      <c r="R765" s="53" t="s"/>
      <c r="S765" s="53" t="s"/>
      <c r="T765" s="53" t="s"/>
      <c r="U765" s="53" t="s"/>
      <c r="V765" s="53" t="s"/>
      <c r="W765" s="53" t="s"/>
      <c r="X765" s="53" t="s"/>
      <c r="Y765" s="53" t="s"/>
      <c r="Z765" s="53" t="s"/>
    </row>
    <row r="766" spans="1:26" ht="16.8" customHeight="true">
      <c r="A766" s="57" t="s">
        <v>2851</v>
      </c>
      <c r="B766" s="58" t="s">
        <v>1554</v>
      </c>
      <c r="C766" s="58" t="s">
        <v>2154</v>
      </c>
      <c r="D766" s="58" t="s"/>
      <c r="E766" s="59" t="s">
        <v>2155</v>
      </c>
      <c r="F766" s="53" t="s"/>
      <c r="G766" s="53" t="s"/>
      <c r="H766" s="53" t="s"/>
      <c r="I766" s="53" t="s"/>
      <c r="J766" s="53" t="s"/>
      <c r="K766" s="53" t="s"/>
      <c r="L766" s="53" t="s"/>
      <c r="M766" s="53" t="s"/>
      <c r="N766" s="53" t="s"/>
      <c r="O766" s="53" t="s"/>
      <c r="P766" s="53" t="s"/>
      <c r="Q766" s="53" t="s"/>
      <c r="R766" s="53" t="s"/>
      <c r="S766" s="53" t="s"/>
      <c r="T766" s="53" t="s"/>
      <c r="U766" s="53" t="s"/>
      <c r="V766" s="53" t="s"/>
      <c r="W766" s="53" t="s"/>
      <c r="X766" s="53" t="s"/>
      <c r="Y766" s="53" t="s"/>
      <c r="Z766" s="53" t="s"/>
    </row>
    <row r="767" spans="1:26" ht="16.8" customHeight="true">
      <c r="A767" s="57" t="s">
        <v>2852</v>
      </c>
      <c r="B767" s="58" t="s">
        <v>2156</v>
      </c>
      <c r="C767" s="58" t="s">
        <v>263</v>
      </c>
      <c r="D767" s="58" t="s">
        <v>2157</v>
      </c>
      <c r="E767" s="59" t="s">
        <v>2158</v>
      </c>
      <c r="F767" s="53" t="s"/>
      <c r="G767" s="53" t="s"/>
      <c r="H767" s="53" t="s"/>
      <c r="I767" s="53" t="s"/>
      <c r="J767" s="53" t="s"/>
      <c r="K767" s="53" t="s"/>
      <c r="L767" s="53" t="s"/>
      <c r="M767" s="53" t="s"/>
      <c r="N767" s="53" t="s"/>
      <c r="O767" s="53" t="s"/>
      <c r="P767" s="53" t="s"/>
      <c r="Q767" s="53" t="s"/>
      <c r="R767" s="53" t="s"/>
      <c r="S767" s="53" t="s"/>
      <c r="T767" s="53" t="s"/>
      <c r="U767" s="53" t="s"/>
      <c r="V767" s="53" t="s"/>
      <c r="W767" s="53" t="s"/>
      <c r="X767" s="53" t="s"/>
      <c r="Y767" s="53" t="s"/>
      <c r="Z767" s="53" t="s"/>
    </row>
    <row r="768" spans="1:26" ht="16.8" customHeight="true">
      <c r="A768" s="57" t="s">
        <v>2853</v>
      </c>
      <c r="B768" s="58" t="s">
        <v>2159</v>
      </c>
      <c r="C768" s="58" t="s">
        <v>165</v>
      </c>
      <c r="D768" s="58" t="s"/>
      <c r="E768" s="59" t="s">
        <v>2160</v>
      </c>
      <c r="F768" s="53" t="s"/>
      <c r="G768" s="53" t="s"/>
      <c r="H768" s="53" t="s"/>
      <c r="I768" s="53" t="s"/>
      <c r="J768" s="53" t="s"/>
      <c r="K768" s="53" t="s"/>
      <c r="L768" s="53" t="s"/>
      <c r="M768" s="53" t="s"/>
      <c r="N768" s="53" t="s"/>
      <c r="O768" s="53" t="s"/>
      <c r="P768" s="53" t="s"/>
      <c r="Q768" s="53" t="s"/>
      <c r="R768" s="53" t="s"/>
      <c r="S768" s="53" t="s"/>
      <c r="T768" s="53" t="s"/>
      <c r="U768" s="53" t="s"/>
      <c r="V768" s="53" t="s"/>
      <c r="W768" s="53" t="s"/>
      <c r="X768" s="53" t="s"/>
      <c r="Y768" s="53" t="s"/>
      <c r="Z768" s="53" t="s"/>
    </row>
    <row r="769" spans="1:26" ht="16.8" customHeight="true">
      <c r="A769" s="57" t="s">
        <v>2854</v>
      </c>
      <c r="B769" s="58" t="s">
        <v>2161</v>
      </c>
      <c r="C769" s="58" t="s">
        <v>165</v>
      </c>
      <c r="D769" s="58" t="s"/>
      <c r="E769" s="59" t="s">
        <v>1669</v>
      </c>
      <c r="F769" s="53" t="s"/>
      <c r="G769" s="53" t="s"/>
      <c r="H769" s="53" t="s"/>
      <c r="I769" s="53" t="s"/>
      <c r="J769" s="53" t="s"/>
      <c r="K769" s="53" t="s"/>
      <c r="L769" s="53" t="s"/>
      <c r="M769" s="53" t="s"/>
      <c r="N769" s="53" t="s"/>
      <c r="O769" s="53" t="s"/>
      <c r="P769" s="53" t="s"/>
      <c r="Q769" s="53" t="s"/>
      <c r="R769" s="53" t="s"/>
      <c r="S769" s="53" t="s"/>
      <c r="T769" s="53" t="s"/>
      <c r="U769" s="53" t="s"/>
      <c r="V769" s="53" t="s"/>
      <c r="W769" s="53" t="s"/>
      <c r="X769" s="53" t="s"/>
      <c r="Y769" s="53" t="s"/>
      <c r="Z769" s="53" t="s"/>
    </row>
    <row r="770" spans="1:26" ht="16.8" customHeight="true">
      <c r="A770" s="57" t="s">
        <v>2855</v>
      </c>
      <c r="B770" s="58" t="s">
        <v>2162</v>
      </c>
      <c r="C770" s="58" t="s">
        <v>165</v>
      </c>
      <c r="D770" s="58" t="s"/>
      <c r="E770" s="59" t="s">
        <v>1067</v>
      </c>
      <c r="F770" s="53" t="s"/>
      <c r="G770" s="53" t="s"/>
      <c r="H770" s="53" t="s"/>
      <c r="I770" s="53" t="s"/>
      <c r="J770" s="53" t="s"/>
      <c r="K770" s="53" t="s"/>
      <c r="L770" s="53" t="s"/>
      <c r="M770" s="53" t="s"/>
      <c r="N770" s="53" t="s"/>
      <c r="O770" s="53" t="s"/>
      <c r="P770" s="53" t="s"/>
      <c r="Q770" s="53" t="s"/>
      <c r="R770" s="53" t="s"/>
      <c r="S770" s="53" t="s"/>
      <c r="T770" s="53" t="s"/>
      <c r="U770" s="53" t="s"/>
      <c r="V770" s="53" t="s"/>
      <c r="W770" s="53" t="s"/>
      <c r="X770" s="53" t="s"/>
      <c r="Y770" s="53" t="s"/>
      <c r="Z770" s="53" t="s"/>
    </row>
    <row r="771" spans="1:26" ht="16.8" customHeight="true">
      <c r="A771" s="57" t="s">
        <v>2856</v>
      </c>
      <c r="B771" s="58" t="s">
        <v>2163</v>
      </c>
      <c r="C771" s="58" t="s">
        <v>165</v>
      </c>
      <c r="D771" s="58" t="s"/>
      <c r="E771" s="59" t="s">
        <v>2164</v>
      </c>
      <c r="F771" s="53" t="s"/>
      <c r="G771" s="53" t="s"/>
      <c r="H771" s="53" t="s"/>
      <c r="I771" s="53" t="s"/>
      <c r="J771" s="53" t="s"/>
      <c r="K771" s="53" t="s"/>
      <c r="L771" s="53" t="s"/>
      <c r="M771" s="53" t="s"/>
      <c r="N771" s="53" t="s"/>
      <c r="O771" s="53" t="s"/>
      <c r="P771" s="53" t="s"/>
      <c r="Q771" s="53" t="s"/>
      <c r="R771" s="53" t="s"/>
      <c r="S771" s="53" t="s"/>
      <c r="T771" s="53" t="s"/>
      <c r="U771" s="53" t="s"/>
      <c r="V771" s="53" t="s"/>
      <c r="W771" s="53" t="s"/>
      <c r="X771" s="53" t="s"/>
      <c r="Y771" s="53" t="s"/>
      <c r="Z771" s="53" t="s"/>
    </row>
    <row r="772" spans="1:26" ht="16.8" customHeight="true">
      <c r="A772" s="57" t="s">
        <v>2857</v>
      </c>
      <c r="B772" s="58" t="s">
        <v>2165</v>
      </c>
      <c r="C772" s="58" t="s">
        <v>165</v>
      </c>
      <c r="D772" s="58" t="s"/>
      <c r="E772" s="59" t="s">
        <v>2166</v>
      </c>
      <c r="F772" s="53" t="s"/>
      <c r="G772" s="53" t="s"/>
      <c r="H772" s="53" t="s"/>
      <c r="I772" s="53" t="s"/>
      <c r="J772" s="53" t="s"/>
      <c r="K772" s="53" t="s"/>
      <c r="L772" s="53" t="s"/>
      <c r="M772" s="53" t="s"/>
      <c r="N772" s="53" t="s"/>
      <c r="O772" s="53" t="s"/>
      <c r="P772" s="53" t="s"/>
      <c r="Q772" s="53" t="s"/>
      <c r="R772" s="53" t="s"/>
      <c r="S772" s="53" t="s"/>
      <c r="T772" s="53" t="s"/>
      <c r="U772" s="53" t="s"/>
      <c r="V772" s="53" t="s"/>
      <c r="W772" s="53" t="s"/>
      <c r="X772" s="53" t="s"/>
      <c r="Y772" s="53" t="s"/>
      <c r="Z772" s="53" t="s"/>
    </row>
    <row r="773" spans="1:26" ht="16.8" customHeight="true">
      <c r="A773" s="57" t="s">
        <v>2858</v>
      </c>
      <c r="B773" s="58" t="s">
        <v>2167</v>
      </c>
      <c r="C773" s="58" t="s">
        <v>263</v>
      </c>
      <c r="D773" s="58" t="s">
        <v>153</v>
      </c>
      <c r="E773" s="59" t="s">
        <v>2168</v>
      </c>
      <c r="F773" s="53" t="s"/>
      <c r="G773" s="53" t="s"/>
      <c r="H773" s="53" t="s"/>
      <c r="I773" s="53" t="s"/>
      <c r="J773" s="53" t="s"/>
      <c r="K773" s="53" t="s"/>
      <c r="L773" s="53" t="s"/>
      <c r="M773" s="53" t="s"/>
      <c r="N773" s="53" t="s"/>
      <c r="O773" s="53" t="s"/>
      <c r="P773" s="53" t="s"/>
      <c r="Q773" s="53" t="s"/>
      <c r="R773" s="53" t="s"/>
      <c r="S773" s="53" t="s"/>
      <c r="T773" s="53" t="s"/>
      <c r="U773" s="53" t="s"/>
      <c r="V773" s="53" t="s"/>
      <c r="W773" s="53" t="s"/>
      <c r="X773" s="53" t="s"/>
      <c r="Y773" s="53" t="s"/>
      <c r="Z773" s="53" t="s"/>
    </row>
    <row r="774" spans="1:26" ht="16.8" customHeight="true">
      <c r="A774" s="57" t="s">
        <v>2859</v>
      </c>
      <c r="B774" s="58" t="s">
        <v>2169</v>
      </c>
      <c r="C774" s="58" t="s">
        <v>165</v>
      </c>
      <c r="D774" s="58" t="s">
        <v>153</v>
      </c>
      <c r="E774" s="59" t="s">
        <v>2170</v>
      </c>
      <c r="F774" s="53" t="s"/>
      <c r="G774" s="53" t="s"/>
      <c r="H774" s="53" t="s"/>
      <c r="I774" s="53" t="s"/>
      <c r="J774" s="53" t="s"/>
      <c r="K774" s="53" t="s"/>
      <c r="L774" s="53" t="s"/>
      <c r="M774" s="53" t="s"/>
      <c r="N774" s="53" t="s"/>
      <c r="O774" s="53" t="s"/>
      <c r="P774" s="53" t="s"/>
      <c r="Q774" s="53" t="s"/>
      <c r="R774" s="53" t="s"/>
      <c r="S774" s="53" t="s"/>
      <c r="T774" s="53" t="s"/>
      <c r="U774" s="53" t="s"/>
      <c r="V774" s="53" t="s"/>
      <c r="W774" s="53" t="s"/>
      <c r="X774" s="53" t="s"/>
      <c r="Y774" s="53" t="s"/>
      <c r="Z774" s="53" t="s"/>
    </row>
    <row r="775" spans="1:26" ht="16.8" customHeight="true">
      <c r="A775" s="57" t="s">
        <v>2860</v>
      </c>
      <c r="B775" s="58" t="s">
        <v>2171</v>
      </c>
      <c r="C775" s="58" t="s">
        <v>165</v>
      </c>
      <c r="D775" s="58" t="s"/>
      <c r="E775" s="59" t="s">
        <v>2172</v>
      </c>
      <c r="F775" s="53" t="s"/>
      <c r="G775" s="53" t="s"/>
      <c r="H775" s="53" t="s"/>
      <c r="I775" s="53" t="s"/>
      <c r="J775" s="53" t="s"/>
      <c r="K775" s="53" t="s"/>
      <c r="L775" s="53" t="s"/>
      <c r="M775" s="53" t="s"/>
      <c r="N775" s="53" t="s"/>
      <c r="O775" s="53" t="s"/>
      <c r="P775" s="53" t="s"/>
      <c r="Q775" s="53" t="s"/>
      <c r="R775" s="53" t="s"/>
      <c r="S775" s="53" t="s"/>
      <c r="T775" s="53" t="s"/>
      <c r="U775" s="53" t="s"/>
      <c r="V775" s="53" t="s"/>
      <c r="W775" s="53" t="s"/>
      <c r="X775" s="53" t="s"/>
      <c r="Y775" s="53" t="s"/>
      <c r="Z775" s="53" t="s"/>
    </row>
    <row r="776" spans="1:26" ht="16.8" customHeight="true">
      <c r="A776" s="57" t="s">
        <v>2861</v>
      </c>
      <c r="B776" s="58" t="s">
        <v>2173</v>
      </c>
      <c r="C776" s="58" t="s">
        <v>165</v>
      </c>
      <c r="D776" s="58" t="s"/>
      <c r="E776" s="59" t="s">
        <v>2174</v>
      </c>
      <c r="F776" s="53" t="s"/>
      <c r="G776" s="53" t="s"/>
      <c r="H776" s="53" t="s"/>
      <c r="I776" s="53" t="s"/>
      <c r="J776" s="53" t="s"/>
      <c r="K776" s="53" t="s"/>
      <c r="L776" s="53" t="s"/>
      <c r="M776" s="53" t="s"/>
      <c r="N776" s="53" t="s"/>
      <c r="O776" s="53" t="s"/>
      <c r="P776" s="53" t="s"/>
      <c r="Q776" s="53" t="s"/>
      <c r="R776" s="53" t="s"/>
      <c r="S776" s="53" t="s"/>
      <c r="T776" s="53" t="s"/>
      <c r="U776" s="53" t="s"/>
      <c r="V776" s="53" t="s"/>
      <c r="W776" s="53" t="s"/>
      <c r="X776" s="53" t="s"/>
      <c r="Y776" s="53" t="s"/>
      <c r="Z776" s="53" t="s"/>
    </row>
    <row r="777" spans="1:26" ht="16.8" customHeight="true">
      <c r="A777" s="57" t="s">
        <v>2862</v>
      </c>
      <c r="B777" s="58" t="s">
        <v>2175</v>
      </c>
      <c r="C777" s="58" t="s">
        <v>351</v>
      </c>
      <c r="D777" s="58" t="s">
        <v>2176</v>
      </c>
      <c r="E777" s="59" t="s">
        <v>2177</v>
      </c>
      <c r="F777" s="53" t="s"/>
      <c r="G777" s="53" t="s"/>
      <c r="H777" s="53" t="s"/>
      <c r="I777" s="53" t="s"/>
      <c r="J777" s="53" t="s"/>
      <c r="K777" s="53" t="s"/>
      <c r="L777" s="53" t="s"/>
      <c r="M777" s="53" t="s"/>
      <c r="N777" s="53" t="s"/>
      <c r="O777" s="53" t="s"/>
      <c r="P777" s="53" t="s"/>
      <c r="Q777" s="53" t="s"/>
      <c r="R777" s="53" t="s"/>
      <c r="S777" s="53" t="s"/>
      <c r="T777" s="53" t="s"/>
      <c r="U777" s="53" t="s"/>
      <c r="V777" s="53" t="s"/>
      <c r="W777" s="53" t="s"/>
      <c r="X777" s="53" t="s"/>
      <c r="Y777" s="53" t="s"/>
      <c r="Z777" s="53" t="s"/>
    </row>
    <row r="778" spans="1:26" ht="16.8" customHeight="true">
      <c r="A778" s="57" t="s">
        <v>2863</v>
      </c>
      <c r="B778" s="58" t="s">
        <v>2178</v>
      </c>
      <c r="C778" s="58" t="s">
        <v>165</v>
      </c>
      <c r="D778" s="58" t="s"/>
      <c r="E778" s="59" t="s">
        <v>2179</v>
      </c>
      <c r="F778" s="53" t="s"/>
      <c r="G778" s="53" t="s"/>
      <c r="H778" s="53" t="s"/>
      <c r="I778" s="53" t="s"/>
      <c r="J778" s="53" t="s"/>
      <c r="K778" s="53" t="s"/>
      <c r="L778" s="53" t="s"/>
      <c r="M778" s="53" t="s"/>
      <c r="N778" s="53" t="s"/>
      <c r="O778" s="53" t="s"/>
      <c r="P778" s="53" t="s"/>
      <c r="Q778" s="53" t="s"/>
      <c r="R778" s="53" t="s"/>
      <c r="S778" s="53" t="s"/>
      <c r="T778" s="53" t="s"/>
      <c r="U778" s="53" t="s"/>
      <c r="V778" s="53" t="s"/>
      <c r="W778" s="53" t="s"/>
      <c r="X778" s="53" t="s"/>
      <c r="Y778" s="53" t="s"/>
      <c r="Z778" s="53" t="s"/>
    </row>
    <row r="779" spans="1:26" ht="16.8" customHeight="true">
      <c r="A779" s="57" t="s">
        <v>2864</v>
      </c>
      <c r="B779" s="58" t="s">
        <v>414</v>
      </c>
      <c r="C779" s="58" t="s">
        <v>165</v>
      </c>
      <c r="D779" s="58" t="s"/>
      <c r="E779" s="59" t="s">
        <v>1319</v>
      </c>
      <c r="F779" s="53" t="s"/>
      <c r="G779" s="53" t="s"/>
      <c r="H779" s="53" t="s"/>
      <c r="I779" s="53" t="s"/>
      <c r="J779" s="53" t="s"/>
      <c r="K779" s="53" t="s"/>
      <c r="L779" s="53" t="s"/>
      <c r="M779" s="53" t="s"/>
      <c r="N779" s="53" t="s"/>
      <c r="O779" s="53" t="s"/>
      <c r="P779" s="53" t="s"/>
      <c r="Q779" s="53" t="s"/>
      <c r="R779" s="53" t="s"/>
      <c r="S779" s="53" t="s"/>
      <c r="T779" s="53" t="s"/>
      <c r="U779" s="53" t="s"/>
      <c r="V779" s="53" t="s"/>
      <c r="W779" s="53" t="s"/>
      <c r="X779" s="53" t="s"/>
      <c r="Y779" s="53" t="s"/>
      <c r="Z779" s="53" t="s"/>
    </row>
    <row r="780" spans="1:26" ht="16.8" customHeight="true">
      <c r="A780" s="57" t="s">
        <v>2833</v>
      </c>
      <c r="B780" s="58" t="s">
        <v>2129</v>
      </c>
      <c r="C780" s="58" t="s">
        <v>165</v>
      </c>
      <c r="D780" s="58" t="s"/>
      <c r="E780" s="59" t="s">
        <v>2180</v>
      </c>
      <c r="F780" s="53" t="s"/>
      <c r="G780" s="53" t="s"/>
      <c r="H780" s="53" t="s"/>
      <c r="I780" s="53" t="s"/>
      <c r="J780" s="53" t="s"/>
      <c r="K780" s="53" t="s"/>
      <c r="L780" s="53" t="s"/>
      <c r="M780" s="53" t="s"/>
      <c r="N780" s="53" t="s"/>
      <c r="O780" s="53" t="s"/>
      <c r="P780" s="53" t="s"/>
      <c r="Q780" s="53" t="s"/>
      <c r="R780" s="53" t="s"/>
      <c r="S780" s="53" t="s"/>
      <c r="T780" s="53" t="s"/>
      <c r="U780" s="53" t="s"/>
      <c r="V780" s="53" t="s"/>
      <c r="W780" s="53" t="s"/>
      <c r="X780" s="53" t="s"/>
      <c r="Y780" s="53" t="s"/>
      <c r="Z780" s="53" t="s"/>
    </row>
    <row r="781" spans="1:26" ht="16.8" customHeight="true">
      <c r="A781" s="57" t="s">
        <v>2794</v>
      </c>
      <c r="B781" s="58" t="s">
        <v>2060</v>
      </c>
      <c r="C781" s="58" t="s">
        <v>165</v>
      </c>
      <c r="D781" s="58" t="s">
        <v>170</v>
      </c>
      <c r="E781" s="59" t="s">
        <v>2181</v>
      </c>
      <c r="F781" s="53" t="s"/>
      <c r="G781" s="53" t="s"/>
      <c r="H781" s="53" t="s"/>
      <c r="I781" s="53" t="s"/>
      <c r="J781" s="53" t="s"/>
      <c r="K781" s="53" t="s"/>
      <c r="L781" s="53" t="s"/>
      <c r="M781" s="53" t="s"/>
      <c r="N781" s="53" t="s"/>
      <c r="O781" s="53" t="s"/>
      <c r="P781" s="53" t="s"/>
      <c r="Q781" s="53" t="s"/>
      <c r="R781" s="53" t="s"/>
      <c r="S781" s="53" t="s"/>
      <c r="T781" s="53" t="s"/>
      <c r="U781" s="53" t="s"/>
      <c r="V781" s="53" t="s"/>
      <c r="W781" s="53" t="s"/>
      <c r="X781" s="53" t="s"/>
      <c r="Y781" s="53" t="s"/>
      <c r="Z781" s="53" t="s"/>
    </row>
    <row r="782" spans="1:26" ht="16.8" customHeight="true">
      <c r="A782" s="57" t="s">
        <v>2865</v>
      </c>
      <c r="B782" s="58" t="s">
        <v>2182</v>
      </c>
      <c r="C782" s="58" t="s">
        <v>165</v>
      </c>
      <c r="D782" s="58" t="s"/>
      <c r="E782" s="59" t="s">
        <v>2183</v>
      </c>
      <c r="F782" s="53" t="s"/>
      <c r="G782" s="53" t="s"/>
      <c r="H782" s="53" t="s"/>
      <c r="I782" s="53" t="s"/>
      <c r="J782" s="53" t="s"/>
      <c r="K782" s="53" t="s"/>
      <c r="L782" s="53" t="s"/>
      <c r="M782" s="53" t="s"/>
      <c r="N782" s="53" t="s"/>
      <c r="O782" s="53" t="s"/>
      <c r="P782" s="53" t="s"/>
      <c r="Q782" s="53" t="s"/>
      <c r="R782" s="53" t="s"/>
      <c r="S782" s="53" t="s"/>
      <c r="T782" s="53" t="s"/>
      <c r="U782" s="53" t="s"/>
      <c r="V782" s="53" t="s"/>
      <c r="W782" s="53" t="s"/>
      <c r="X782" s="53" t="s"/>
      <c r="Y782" s="53" t="s"/>
      <c r="Z782" s="53" t="s"/>
    </row>
    <row r="783" spans="1:26" ht="16.8" customHeight="true">
      <c r="A783" s="57" t="s">
        <v>2866</v>
      </c>
      <c r="B783" s="58" t="s">
        <v>2184</v>
      </c>
      <c r="C783" s="58" t="s">
        <v>165</v>
      </c>
      <c r="D783" s="58" t="s"/>
      <c r="E783" s="59" t="s">
        <v>2185</v>
      </c>
      <c r="F783" s="53" t="s"/>
      <c r="G783" s="53" t="s"/>
      <c r="H783" s="53" t="s"/>
      <c r="I783" s="53" t="s"/>
      <c r="J783" s="53" t="s"/>
      <c r="K783" s="53" t="s"/>
      <c r="L783" s="53" t="s"/>
      <c r="M783" s="53" t="s"/>
      <c r="N783" s="53" t="s"/>
      <c r="O783" s="53" t="s"/>
      <c r="P783" s="53" t="s"/>
      <c r="Q783" s="53" t="s"/>
      <c r="R783" s="53" t="s"/>
      <c r="S783" s="53" t="s"/>
      <c r="T783" s="53" t="s"/>
      <c r="U783" s="53" t="s"/>
      <c r="V783" s="53" t="s"/>
      <c r="W783" s="53" t="s"/>
      <c r="X783" s="53" t="s"/>
      <c r="Y783" s="53" t="s"/>
      <c r="Z783" s="53" t="s"/>
    </row>
    <row r="784" spans="1:26" ht="16.8" customHeight="true">
      <c r="A784" s="57" t="s">
        <v>2867</v>
      </c>
      <c r="B784" s="58" t="s">
        <v>2186</v>
      </c>
      <c r="C784" s="58" t="s">
        <v>165</v>
      </c>
      <c r="D784" s="58" t="s"/>
      <c r="E784" s="59" t="s">
        <v>2187</v>
      </c>
      <c r="F784" s="53" t="s"/>
      <c r="G784" s="53" t="s"/>
      <c r="H784" s="53" t="s"/>
      <c r="I784" s="53" t="s"/>
      <c r="J784" s="53" t="s"/>
      <c r="K784" s="53" t="s"/>
      <c r="L784" s="53" t="s"/>
      <c r="M784" s="53" t="s"/>
      <c r="N784" s="53" t="s"/>
      <c r="O784" s="53" t="s"/>
      <c r="P784" s="53" t="s"/>
      <c r="Q784" s="53" t="s"/>
      <c r="R784" s="53" t="s"/>
      <c r="S784" s="53" t="s"/>
      <c r="T784" s="53" t="s"/>
      <c r="U784" s="53" t="s"/>
      <c r="V784" s="53" t="s"/>
      <c r="W784" s="53" t="s"/>
      <c r="X784" s="53" t="s"/>
      <c r="Y784" s="53" t="s"/>
      <c r="Z784" s="53" t="s"/>
    </row>
    <row r="785" spans="1:26" ht="16.8" customHeight="true">
      <c r="A785" s="57" t="s">
        <v>2868</v>
      </c>
      <c r="B785" s="58" t="s">
        <v>2188</v>
      </c>
      <c r="C785" s="58" t="s">
        <v>165</v>
      </c>
      <c r="D785" s="58" t="s"/>
      <c r="E785" s="59" t="s">
        <v>2189</v>
      </c>
      <c r="F785" s="53" t="s"/>
      <c r="G785" s="53" t="s"/>
      <c r="H785" s="53" t="s"/>
      <c r="I785" s="53" t="s"/>
      <c r="J785" s="53" t="s"/>
      <c r="K785" s="53" t="s"/>
      <c r="L785" s="53" t="s"/>
      <c r="M785" s="53" t="s"/>
      <c r="N785" s="53" t="s"/>
      <c r="O785" s="53" t="s"/>
      <c r="P785" s="53" t="s"/>
      <c r="Q785" s="53" t="s"/>
      <c r="R785" s="53" t="s"/>
      <c r="S785" s="53" t="s"/>
      <c r="T785" s="53" t="s"/>
      <c r="U785" s="53" t="s"/>
      <c r="V785" s="53" t="s"/>
      <c r="W785" s="53" t="s"/>
      <c r="X785" s="53" t="s"/>
      <c r="Y785" s="53" t="s"/>
      <c r="Z785" s="53" t="s"/>
    </row>
    <row r="786" spans="1:26" ht="16.8" customHeight="true">
      <c r="A786" s="57" t="s">
        <v>2869</v>
      </c>
      <c r="B786" s="58" t="s">
        <v>2190</v>
      </c>
      <c r="C786" s="58" t="s">
        <v>165</v>
      </c>
      <c r="D786" s="58" t="s"/>
      <c r="E786" s="59" t="s">
        <v>640</v>
      </c>
      <c r="F786" s="53" t="s"/>
      <c r="G786" s="53" t="s"/>
      <c r="H786" s="53" t="s"/>
      <c r="I786" s="53" t="s"/>
      <c r="J786" s="53" t="s"/>
      <c r="K786" s="53" t="s"/>
      <c r="L786" s="53" t="s"/>
      <c r="M786" s="53" t="s"/>
      <c r="N786" s="53" t="s"/>
      <c r="O786" s="53" t="s"/>
      <c r="P786" s="53" t="s"/>
      <c r="Q786" s="53" t="s"/>
      <c r="R786" s="53" t="s"/>
      <c r="S786" s="53" t="s"/>
      <c r="T786" s="53" t="s"/>
      <c r="U786" s="53" t="s"/>
      <c r="V786" s="53" t="s"/>
      <c r="W786" s="53" t="s"/>
      <c r="X786" s="53" t="s"/>
      <c r="Y786" s="53" t="s"/>
      <c r="Z786" s="53" t="s"/>
    </row>
    <row r="787" spans="1:26" ht="16.8" customHeight="true">
      <c r="A787" s="57" t="s">
        <v>2870</v>
      </c>
      <c r="B787" s="58" t="s">
        <v>2191</v>
      </c>
      <c r="C787" s="58" t="s">
        <v>165</v>
      </c>
      <c r="D787" s="58" t="s"/>
      <c r="E787" s="59" t="s">
        <v>2192</v>
      </c>
      <c r="F787" s="53" t="s"/>
      <c r="G787" s="53" t="s"/>
      <c r="H787" s="53" t="s"/>
      <c r="I787" s="53" t="s"/>
      <c r="J787" s="53" t="s"/>
      <c r="K787" s="53" t="s"/>
      <c r="L787" s="53" t="s"/>
      <c r="M787" s="53" t="s"/>
      <c r="N787" s="53" t="s"/>
      <c r="O787" s="53" t="s"/>
      <c r="P787" s="53" t="s"/>
      <c r="Q787" s="53" t="s"/>
      <c r="R787" s="53" t="s"/>
      <c r="S787" s="53" t="s"/>
      <c r="T787" s="53" t="s"/>
      <c r="U787" s="53" t="s"/>
      <c r="V787" s="53" t="s"/>
      <c r="W787" s="53" t="s"/>
      <c r="X787" s="53" t="s"/>
      <c r="Y787" s="53" t="s"/>
      <c r="Z787" s="53" t="s"/>
    </row>
    <row r="788" spans="1:26" ht="16.8" customHeight="true">
      <c r="A788" s="57" t="s">
        <v>2871</v>
      </c>
      <c r="B788" s="58" t="s">
        <v>2193</v>
      </c>
      <c r="C788" s="58" t="s">
        <v>165</v>
      </c>
      <c r="D788" s="58" t="s"/>
      <c r="E788" s="59" t="s">
        <v>719</v>
      </c>
      <c r="F788" s="53" t="s"/>
      <c r="G788" s="53" t="s"/>
      <c r="H788" s="53" t="s"/>
      <c r="I788" s="53" t="s"/>
      <c r="J788" s="53" t="s"/>
      <c r="K788" s="53" t="s"/>
      <c r="L788" s="53" t="s"/>
      <c r="M788" s="53" t="s"/>
      <c r="N788" s="53" t="s"/>
      <c r="O788" s="53" t="s"/>
      <c r="P788" s="53" t="s"/>
      <c r="Q788" s="53" t="s"/>
      <c r="R788" s="53" t="s"/>
      <c r="S788" s="53" t="s"/>
      <c r="T788" s="53" t="s"/>
      <c r="U788" s="53" t="s"/>
      <c r="V788" s="53" t="s"/>
      <c r="W788" s="53" t="s"/>
      <c r="X788" s="53" t="s"/>
      <c r="Y788" s="53" t="s"/>
      <c r="Z788" s="53" t="s"/>
    </row>
    <row r="789" spans="1:26" ht="16.8" customHeight="true">
      <c r="A789" s="57" t="s">
        <v>2872</v>
      </c>
      <c r="B789" s="58" t="s">
        <v>2194</v>
      </c>
      <c r="C789" s="58" t="s">
        <v>263</v>
      </c>
      <c r="D789" s="58" t="s">
        <v>170</v>
      </c>
      <c r="E789" s="59" t="s">
        <v>2195</v>
      </c>
      <c r="F789" s="53" t="s"/>
      <c r="G789" s="53" t="s"/>
      <c r="H789" s="53" t="s"/>
      <c r="I789" s="53" t="s"/>
      <c r="J789" s="53" t="s"/>
      <c r="K789" s="53" t="s"/>
      <c r="L789" s="53" t="s"/>
      <c r="M789" s="53" t="s"/>
      <c r="N789" s="53" t="s"/>
      <c r="O789" s="53" t="s"/>
      <c r="P789" s="53" t="s"/>
      <c r="Q789" s="53" t="s"/>
      <c r="R789" s="53" t="s"/>
      <c r="S789" s="53" t="s"/>
      <c r="T789" s="53" t="s"/>
      <c r="U789" s="53" t="s"/>
      <c r="V789" s="53" t="s"/>
      <c r="W789" s="53" t="s"/>
      <c r="X789" s="53" t="s"/>
      <c r="Y789" s="53" t="s"/>
      <c r="Z789" s="53" t="s"/>
    </row>
    <row r="790" spans="1:26" ht="16.8" customHeight="true">
      <c r="A790" s="57" t="s">
        <v>2873</v>
      </c>
      <c r="B790" s="58" t="s">
        <v>213</v>
      </c>
      <c r="C790" s="58" t="s">
        <v>161</v>
      </c>
      <c r="D790" s="58" t="s">
        <v>153</v>
      </c>
      <c r="E790" s="59" t="s">
        <v>2196</v>
      </c>
      <c r="F790" s="53" t="s"/>
      <c r="G790" s="53" t="s"/>
      <c r="H790" s="53" t="s"/>
      <c r="I790" s="53" t="s"/>
      <c r="J790" s="53" t="s"/>
      <c r="K790" s="53" t="s"/>
      <c r="L790" s="53" t="s"/>
      <c r="M790" s="53" t="s"/>
      <c r="N790" s="53" t="s"/>
      <c r="O790" s="53" t="s"/>
      <c r="P790" s="53" t="s"/>
      <c r="Q790" s="53" t="s"/>
      <c r="R790" s="53" t="s"/>
      <c r="S790" s="53" t="s"/>
      <c r="T790" s="53" t="s"/>
      <c r="U790" s="53" t="s"/>
      <c r="V790" s="53" t="s"/>
      <c r="W790" s="53" t="s"/>
      <c r="X790" s="53" t="s"/>
      <c r="Y790" s="53" t="s"/>
      <c r="Z790" s="53" t="s"/>
    </row>
    <row r="791" spans="1:26" ht="16.8" customHeight="true">
      <c r="A791" s="57" t="s">
        <v>2874</v>
      </c>
      <c r="B791" s="58" t="s">
        <v>168</v>
      </c>
      <c r="C791" s="58" t="s">
        <v>1110</v>
      </c>
      <c r="D791" s="58" t="s">
        <v>1309</v>
      </c>
      <c r="E791" s="59" t="s">
        <v>2197</v>
      </c>
      <c r="F791" s="53" t="s"/>
      <c r="G791" s="53" t="s"/>
      <c r="H791" s="53" t="s"/>
      <c r="I791" s="53" t="s"/>
      <c r="J791" s="53" t="s"/>
      <c r="K791" s="53" t="s"/>
      <c r="L791" s="53" t="s"/>
      <c r="M791" s="53" t="s"/>
      <c r="N791" s="53" t="s"/>
      <c r="O791" s="53" t="s"/>
      <c r="P791" s="53" t="s"/>
      <c r="Q791" s="53" t="s"/>
      <c r="R791" s="53" t="s"/>
      <c r="S791" s="53" t="s"/>
      <c r="T791" s="53" t="s"/>
      <c r="U791" s="53" t="s"/>
      <c r="V791" s="53" t="s"/>
      <c r="W791" s="53" t="s"/>
      <c r="X791" s="53" t="s"/>
      <c r="Y791" s="53" t="s"/>
      <c r="Z791" s="53" t="s"/>
    </row>
    <row r="792" spans="1:26" ht="16.8" customHeight="true">
      <c r="A792" s="57" t="s">
        <v>2875</v>
      </c>
      <c r="B792" s="58" t="s">
        <v>2198</v>
      </c>
      <c r="C792" s="58" t="s">
        <v>702</v>
      </c>
      <c r="D792" s="58" t="s">
        <v>170</v>
      </c>
      <c r="E792" s="59" t="s">
        <v>2199</v>
      </c>
      <c r="F792" s="53" t="s"/>
      <c r="G792" s="53" t="s"/>
      <c r="H792" s="53" t="s"/>
      <c r="I792" s="53" t="s"/>
      <c r="J792" s="53" t="s"/>
      <c r="K792" s="53" t="s"/>
      <c r="L792" s="53" t="s"/>
      <c r="M792" s="53" t="s"/>
      <c r="N792" s="53" t="s"/>
      <c r="O792" s="53" t="s"/>
      <c r="P792" s="53" t="s"/>
      <c r="Q792" s="53" t="s"/>
      <c r="R792" s="53" t="s"/>
      <c r="S792" s="53" t="s"/>
      <c r="T792" s="53" t="s"/>
      <c r="U792" s="53" t="s"/>
      <c r="V792" s="53" t="s"/>
      <c r="W792" s="53" t="s"/>
      <c r="X792" s="53" t="s"/>
      <c r="Y792" s="53" t="s"/>
      <c r="Z792" s="53" t="s"/>
    </row>
    <row r="793" spans="1:26" ht="16.8" customHeight="true">
      <c r="A793" s="57" t="s">
        <v>2876</v>
      </c>
      <c r="B793" s="58" t="s">
        <v>1891</v>
      </c>
      <c r="C793" s="58" t="s">
        <v>165</v>
      </c>
      <c r="D793" s="58" t="s"/>
      <c r="E793" s="59" t="s">
        <v>2200</v>
      </c>
      <c r="F793" s="53" t="s"/>
      <c r="G793" s="53" t="s"/>
      <c r="H793" s="53" t="s"/>
      <c r="I793" s="53" t="s"/>
      <c r="J793" s="53" t="s"/>
      <c r="K793" s="53" t="s"/>
      <c r="L793" s="53" t="s"/>
      <c r="M793" s="53" t="s"/>
      <c r="N793" s="53" t="s"/>
      <c r="O793" s="53" t="s"/>
      <c r="P793" s="53" t="s"/>
      <c r="Q793" s="53" t="s"/>
      <c r="R793" s="53" t="s"/>
      <c r="S793" s="53" t="s"/>
      <c r="T793" s="53" t="s"/>
      <c r="U793" s="53" t="s"/>
      <c r="V793" s="53" t="s"/>
      <c r="W793" s="53" t="s"/>
      <c r="X793" s="53" t="s"/>
      <c r="Y793" s="53" t="s"/>
      <c r="Z793" s="53" t="s"/>
    </row>
    <row r="794" spans="1:26" ht="16.8" customHeight="true">
      <c r="A794" s="57" t="s">
        <v>2877</v>
      </c>
      <c r="B794" s="58" t="s">
        <v>2201</v>
      </c>
      <c r="C794" s="58" t="s">
        <v>263</v>
      </c>
      <c r="D794" s="58" t="s">
        <v>170</v>
      </c>
      <c r="E794" s="59" t="s">
        <v>1049</v>
      </c>
      <c r="F794" s="53" t="s"/>
      <c r="G794" s="53" t="s"/>
      <c r="H794" s="53" t="s"/>
      <c r="I794" s="53" t="s"/>
      <c r="J794" s="53" t="s"/>
      <c r="K794" s="53" t="s"/>
      <c r="L794" s="53" t="s"/>
      <c r="M794" s="53" t="s"/>
      <c r="N794" s="53" t="s"/>
      <c r="O794" s="53" t="s"/>
      <c r="P794" s="53" t="s"/>
      <c r="Q794" s="53" t="s"/>
      <c r="R794" s="53" t="s"/>
      <c r="S794" s="53" t="s"/>
      <c r="T794" s="53" t="s"/>
      <c r="U794" s="53" t="s"/>
      <c r="V794" s="53" t="s"/>
      <c r="W794" s="53" t="s"/>
      <c r="X794" s="53" t="s"/>
      <c r="Y794" s="53" t="s"/>
      <c r="Z794" s="53" t="s"/>
    </row>
    <row r="795" spans="1:26" ht="16.8" customHeight="true">
      <c r="A795" s="57" t="s">
        <v>2878</v>
      </c>
      <c r="B795" s="58" t="s">
        <v>373</v>
      </c>
      <c r="C795" s="58" t="s">
        <v>165</v>
      </c>
      <c r="D795" s="58" t="s">
        <v>2202</v>
      </c>
      <c r="E795" s="59" t="s">
        <v>2203</v>
      </c>
      <c r="F795" s="53" t="s"/>
      <c r="G795" s="53" t="s"/>
      <c r="H795" s="53" t="s"/>
      <c r="I795" s="53" t="s"/>
      <c r="J795" s="53" t="s"/>
      <c r="K795" s="53" t="s"/>
      <c r="L795" s="53" t="s"/>
      <c r="M795" s="53" t="s"/>
      <c r="N795" s="53" t="s"/>
      <c r="O795" s="53" t="s"/>
      <c r="P795" s="53" t="s"/>
      <c r="Q795" s="53" t="s"/>
      <c r="R795" s="53" t="s"/>
      <c r="S795" s="53" t="s"/>
      <c r="T795" s="53" t="s"/>
      <c r="U795" s="53" t="s"/>
      <c r="V795" s="53" t="s"/>
      <c r="W795" s="53" t="s"/>
      <c r="X795" s="53" t="s"/>
      <c r="Y795" s="53" t="s"/>
      <c r="Z795" s="53" t="s"/>
    </row>
    <row r="796" spans="1:26" ht="16.8" customHeight="true">
      <c r="A796" s="57" t="s">
        <v>2879</v>
      </c>
      <c r="B796" s="58" t="s">
        <v>192</v>
      </c>
      <c r="C796" s="58" t="s">
        <v>152</v>
      </c>
      <c r="D796" s="58" t="s">
        <v>170</v>
      </c>
      <c r="E796" s="59" t="s">
        <v>1316</v>
      </c>
      <c r="F796" s="53" t="s"/>
      <c r="G796" s="53" t="s"/>
      <c r="H796" s="53" t="s"/>
      <c r="I796" s="53" t="s"/>
      <c r="J796" s="53" t="s"/>
      <c r="K796" s="53" t="s"/>
      <c r="L796" s="53" t="s"/>
      <c r="M796" s="53" t="s"/>
      <c r="N796" s="53" t="s"/>
      <c r="O796" s="53" t="s"/>
      <c r="P796" s="53" t="s"/>
      <c r="Q796" s="53" t="s"/>
      <c r="R796" s="53" t="s"/>
      <c r="S796" s="53" t="s"/>
      <c r="T796" s="53" t="s"/>
      <c r="U796" s="53" t="s"/>
      <c r="V796" s="53" t="s"/>
      <c r="W796" s="53" t="s"/>
      <c r="X796" s="53" t="s"/>
      <c r="Y796" s="53" t="s"/>
      <c r="Z796" s="53" t="s"/>
    </row>
    <row r="797" spans="1:26" ht="16.8" customHeight="true">
      <c r="A797" s="57" t="s">
        <v>2880</v>
      </c>
      <c r="B797" s="58" t="s">
        <v>832</v>
      </c>
      <c r="C797" s="58" t="s">
        <v>797</v>
      </c>
      <c r="D797" s="58" t="s"/>
      <c r="E797" s="59" t="s">
        <v>1105</v>
      </c>
      <c r="F797" s="53" t="s"/>
      <c r="G797" s="53" t="s"/>
      <c r="H797" s="53" t="s"/>
      <c r="I797" s="53" t="s"/>
      <c r="J797" s="53" t="s"/>
      <c r="K797" s="53" t="s"/>
      <c r="L797" s="53" t="s"/>
      <c r="M797" s="53" t="s"/>
      <c r="N797" s="53" t="s"/>
      <c r="O797" s="53" t="s"/>
      <c r="P797" s="53" t="s"/>
      <c r="Q797" s="53" t="s"/>
      <c r="R797" s="53" t="s"/>
      <c r="S797" s="53" t="s"/>
      <c r="T797" s="53" t="s"/>
      <c r="U797" s="53" t="s"/>
      <c r="V797" s="53" t="s"/>
      <c r="W797" s="53" t="s"/>
      <c r="X797" s="53" t="s"/>
      <c r="Y797" s="53" t="s"/>
      <c r="Z797" s="53" t="s"/>
    </row>
    <row r="798" spans="1:26" ht="16.8" customHeight="true">
      <c r="A798" s="57" t="s">
        <v>2881</v>
      </c>
      <c r="B798" s="58" t="s">
        <v>982</v>
      </c>
      <c r="C798" s="58" t="s">
        <v>165</v>
      </c>
      <c r="D798" s="58" t="s"/>
      <c r="E798" s="59" t="s">
        <v>2204</v>
      </c>
      <c r="F798" s="53" t="s"/>
      <c r="G798" s="53" t="s"/>
      <c r="H798" s="53" t="s"/>
      <c r="I798" s="53" t="s"/>
      <c r="J798" s="53" t="s"/>
      <c r="K798" s="53" t="s"/>
      <c r="L798" s="53" t="s"/>
      <c r="M798" s="53" t="s"/>
      <c r="N798" s="53" t="s"/>
      <c r="O798" s="53" t="s"/>
      <c r="P798" s="53" t="s"/>
      <c r="Q798" s="53" t="s"/>
      <c r="R798" s="53" t="s"/>
      <c r="S798" s="53" t="s"/>
      <c r="T798" s="53" t="s"/>
      <c r="U798" s="53" t="s"/>
      <c r="V798" s="53" t="s"/>
      <c r="W798" s="53" t="s"/>
      <c r="X798" s="53" t="s"/>
      <c r="Y798" s="53" t="s"/>
      <c r="Z798" s="53" t="s"/>
    </row>
    <row r="799" spans="1:26" ht="16.8" customHeight="true">
      <c r="A799" s="57" t="s">
        <v>2882</v>
      </c>
      <c r="B799" s="58" t="s">
        <v>2205</v>
      </c>
      <c r="C799" s="58" t="s">
        <v>165</v>
      </c>
      <c r="D799" s="58" t="s"/>
      <c r="E799" s="59" t="s">
        <v>2206</v>
      </c>
      <c r="F799" s="53" t="s"/>
      <c r="G799" s="53" t="s"/>
      <c r="H799" s="53" t="s"/>
      <c r="I799" s="53" t="s"/>
      <c r="J799" s="53" t="s"/>
      <c r="K799" s="53" t="s"/>
      <c r="L799" s="53" t="s"/>
      <c r="M799" s="53" t="s"/>
      <c r="N799" s="53" t="s"/>
      <c r="O799" s="53" t="s"/>
      <c r="P799" s="53" t="s"/>
      <c r="Q799" s="53" t="s"/>
      <c r="R799" s="53" t="s"/>
      <c r="S799" s="53" t="s"/>
      <c r="T799" s="53" t="s"/>
      <c r="U799" s="53" t="s"/>
      <c r="V799" s="53" t="s"/>
      <c r="W799" s="53" t="s"/>
      <c r="X799" s="53" t="s"/>
      <c r="Y799" s="53" t="s"/>
      <c r="Z799" s="53" t="s"/>
    </row>
    <row r="800" spans="1:26" ht="16.8" customHeight="true">
      <c r="A800" s="57" t="s">
        <v>2883</v>
      </c>
      <c r="B800" s="58" t="s">
        <v>2207</v>
      </c>
      <c r="C800" s="58" t="s">
        <v>165</v>
      </c>
      <c r="D800" s="58" t="s"/>
      <c r="E800" s="59" t="s">
        <v>2208</v>
      </c>
      <c r="F800" s="53" t="s"/>
      <c r="G800" s="53" t="s"/>
      <c r="H800" s="53" t="s"/>
      <c r="I800" s="53" t="s"/>
      <c r="J800" s="53" t="s"/>
      <c r="K800" s="53" t="s"/>
      <c r="L800" s="53" t="s"/>
      <c r="M800" s="53" t="s"/>
      <c r="N800" s="53" t="s"/>
      <c r="O800" s="53" t="s"/>
      <c r="P800" s="53" t="s"/>
      <c r="Q800" s="53" t="s"/>
      <c r="R800" s="53" t="s"/>
      <c r="S800" s="53" t="s"/>
      <c r="T800" s="53" t="s"/>
      <c r="U800" s="53" t="s"/>
      <c r="V800" s="53" t="s"/>
      <c r="W800" s="53" t="s"/>
      <c r="X800" s="53" t="s"/>
      <c r="Y800" s="53" t="s"/>
      <c r="Z800" s="53" t="s"/>
    </row>
    <row r="801" spans="1:26" ht="16.8" customHeight="true">
      <c r="A801" s="57" t="s">
        <v>2884</v>
      </c>
      <c r="B801" s="58" t="s">
        <v>2209</v>
      </c>
      <c r="C801" s="58" t="s">
        <v>152</v>
      </c>
      <c r="D801" s="58" t="s"/>
      <c r="E801" s="59" t="s">
        <v>2210</v>
      </c>
      <c r="F801" s="53" t="s"/>
      <c r="G801" s="53" t="s"/>
      <c r="H801" s="53" t="s"/>
      <c r="I801" s="53" t="s"/>
      <c r="J801" s="53" t="s"/>
      <c r="K801" s="53" t="s"/>
      <c r="L801" s="53" t="s"/>
      <c r="M801" s="53" t="s"/>
      <c r="N801" s="53" t="s"/>
      <c r="O801" s="53" t="s"/>
      <c r="P801" s="53" t="s"/>
      <c r="Q801" s="53" t="s"/>
      <c r="R801" s="53" t="s"/>
      <c r="S801" s="53" t="s"/>
      <c r="T801" s="53" t="s"/>
      <c r="U801" s="53" t="s"/>
      <c r="V801" s="53" t="s"/>
      <c r="W801" s="53" t="s"/>
      <c r="X801" s="53" t="s"/>
      <c r="Y801" s="53" t="s"/>
      <c r="Z801" s="53" t="s"/>
    </row>
    <row r="802" spans="1:26" ht="16.8" customHeight="true">
      <c r="A802" s="57" t="s">
        <v>2885</v>
      </c>
      <c r="B802" s="58" t="s">
        <v>2211</v>
      </c>
      <c r="C802" s="58" t="s">
        <v>165</v>
      </c>
      <c r="D802" s="58" t="s">
        <v>232</v>
      </c>
      <c r="E802" s="59" t="s">
        <v>2212</v>
      </c>
      <c r="F802" s="53" t="s"/>
      <c r="G802" s="53" t="s"/>
      <c r="H802" s="53" t="s"/>
      <c r="I802" s="53" t="s"/>
      <c r="J802" s="53" t="s"/>
      <c r="K802" s="53" t="s"/>
      <c r="L802" s="53" t="s"/>
      <c r="M802" s="53" t="s"/>
      <c r="N802" s="53" t="s"/>
      <c r="O802" s="53" t="s"/>
      <c r="P802" s="53" t="s"/>
      <c r="Q802" s="53" t="s"/>
      <c r="R802" s="53" t="s"/>
      <c r="S802" s="53" t="s"/>
      <c r="T802" s="53" t="s"/>
      <c r="U802" s="53" t="s"/>
      <c r="V802" s="53" t="s"/>
      <c r="W802" s="53" t="s"/>
      <c r="X802" s="53" t="s"/>
      <c r="Y802" s="53" t="s"/>
      <c r="Z802" s="53" t="s"/>
    </row>
    <row r="803" spans="1:26" ht="16.8" customHeight="true">
      <c r="A803" s="57" t="s">
        <v>2886</v>
      </c>
      <c r="B803" s="58" t="s">
        <v>2213</v>
      </c>
      <c r="C803" s="58" t="s">
        <v>263</v>
      </c>
      <c r="D803" s="58" t="s">
        <v>232</v>
      </c>
      <c r="E803" s="59" t="s">
        <v>2214</v>
      </c>
      <c r="F803" s="53" t="s"/>
      <c r="G803" s="53" t="s"/>
      <c r="H803" s="53" t="s"/>
      <c r="I803" s="53" t="s"/>
      <c r="J803" s="53" t="s"/>
      <c r="K803" s="53" t="s"/>
      <c r="L803" s="53" t="s"/>
      <c r="M803" s="53" t="s"/>
      <c r="N803" s="53" t="s"/>
      <c r="O803" s="53" t="s"/>
      <c r="P803" s="53" t="s"/>
      <c r="Q803" s="53" t="s"/>
      <c r="R803" s="53" t="s"/>
      <c r="S803" s="53" t="s"/>
      <c r="T803" s="53" t="s"/>
      <c r="U803" s="53" t="s"/>
      <c r="V803" s="53" t="s"/>
      <c r="W803" s="53" t="s"/>
      <c r="X803" s="53" t="s"/>
      <c r="Y803" s="53" t="s"/>
      <c r="Z803" s="53" t="s"/>
    </row>
    <row r="804" spans="1:26" ht="16.8" customHeight="true">
      <c r="A804" s="57" t="s">
        <v>2887</v>
      </c>
      <c r="B804" s="58" t="s">
        <v>2215</v>
      </c>
      <c r="C804" s="58" t="s">
        <v>165</v>
      </c>
      <c r="D804" s="58" t="s"/>
      <c r="E804" s="59" t="s">
        <v>336</v>
      </c>
      <c r="F804" s="53" t="s"/>
      <c r="G804" s="53" t="s"/>
      <c r="H804" s="53" t="s"/>
      <c r="I804" s="53" t="s"/>
      <c r="J804" s="53" t="s"/>
      <c r="K804" s="53" t="s"/>
      <c r="L804" s="53" t="s"/>
      <c r="M804" s="53" t="s"/>
      <c r="N804" s="53" t="s"/>
      <c r="O804" s="53" t="s"/>
      <c r="P804" s="53" t="s"/>
      <c r="Q804" s="53" t="s"/>
      <c r="R804" s="53" t="s"/>
      <c r="S804" s="53" t="s"/>
      <c r="T804" s="53" t="s"/>
      <c r="U804" s="53" t="s"/>
      <c r="V804" s="53" t="s"/>
      <c r="W804" s="53" t="s"/>
      <c r="X804" s="53" t="s"/>
      <c r="Y804" s="53" t="s"/>
      <c r="Z804" s="53" t="s"/>
    </row>
    <row r="805" spans="1:26" ht="16.8" customHeight="true">
      <c r="A805" s="57" t="s">
        <v>2888</v>
      </c>
      <c r="B805" s="58" t="s">
        <v>2216</v>
      </c>
      <c r="C805" s="58" t="s">
        <v>165</v>
      </c>
      <c r="D805" s="58" t="s"/>
      <c r="E805" s="59" t="s">
        <v>2217</v>
      </c>
      <c r="F805" s="53" t="s"/>
      <c r="G805" s="53" t="s"/>
      <c r="H805" s="53" t="s"/>
      <c r="I805" s="53" t="s"/>
      <c r="J805" s="53" t="s"/>
      <c r="K805" s="53" t="s"/>
      <c r="L805" s="53" t="s"/>
      <c r="M805" s="53" t="s"/>
      <c r="N805" s="53" t="s"/>
      <c r="O805" s="53" t="s"/>
      <c r="P805" s="53" t="s"/>
      <c r="Q805" s="53" t="s"/>
      <c r="R805" s="53" t="s"/>
      <c r="S805" s="53" t="s"/>
      <c r="T805" s="53" t="s"/>
      <c r="U805" s="53" t="s"/>
      <c r="V805" s="53" t="s"/>
      <c r="W805" s="53" t="s"/>
      <c r="X805" s="53" t="s"/>
      <c r="Y805" s="53" t="s"/>
      <c r="Z805" s="53" t="s"/>
    </row>
    <row r="806" spans="1:26" ht="16.8" customHeight="true">
      <c r="A806" s="57" t="s">
        <v>2889</v>
      </c>
      <c r="B806" s="58" t="s">
        <v>2218</v>
      </c>
      <c r="C806" s="58" t="s">
        <v>165</v>
      </c>
      <c r="D806" s="58" t="s"/>
      <c r="E806" s="59" t="s">
        <v>2219</v>
      </c>
      <c r="F806" s="53" t="s"/>
      <c r="G806" s="53" t="s"/>
      <c r="H806" s="53" t="s"/>
      <c r="I806" s="53" t="s"/>
      <c r="J806" s="53" t="s"/>
      <c r="K806" s="53" t="s"/>
      <c r="L806" s="53" t="s"/>
      <c r="M806" s="53" t="s"/>
      <c r="N806" s="53" t="s"/>
      <c r="O806" s="53" t="s"/>
      <c r="P806" s="53" t="s"/>
      <c r="Q806" s="53" t="s"/>
      <c r="R806" s="53" t="s"/>
      <c r="S806" s="53" t="s"/>
      <c r="T806" s="53" t="s"/>
      <c r="U806" s="53" t="s"/>
      <c r="V806" s="53" t="s"/>
      <c r="W806" s="53" t="s"/>
      <c r="X806" s="53" t="s"/>
      <c r="Y806" s="53" t="s"/>
      <c r="Z806" s="53" t="s"/>
    </row>
    <row r="807" spans="1:26" ht="16.8" customHeight="true">
      <c r="A807" s="57" t="s">
        <v>2890</v>
      </c>
      <c r="B807" s="58" t="s">
        <v>2220</v>
      </c>
      <c r="C807" s="58" t="s">
        <v>165</v>
      </c>
      <c r="D807" s="58" t="s"/>
      <c r="E807" s="59" t="s">
        <v>2095</v>
      </c>
      <c r="F807" s="53" t="s"/>
      <c r="G807" s="53" t="s"/>
      <c r="H807" s="53" t="s"/>
      <c r="I807" s="53" t="s"/>
      <c r="J807" s="53" t="s"/>
      <c r="K807" s="53" t="s"/>
      <c r="L807" s="53" t="s"/>
      <c r="M807" s="53" t="s"/>
      <c r="N807" s="53" t="s"/>
      <c r="O807" s="53" t="s"/>
      <c r="P807" s="53" t="s"/>
      <c r="Q807" s="53" t="s"/>
      <c r="R807" s="53" t="s"/>
      <c r="S807" s="53" t="s"/>
      <c r="T807" s="53" t="s"/>
      <c r="U807" s="53" t="s"/>
      <c r="V807" s="53" t="s"/>
      <c r="W807" s="53" t="s"/>
      <c r="X807" s="53" t="s"/>
      <c r="Y807" s="53" t="s"/>
      <c r="Z807" s="53" t="s"/>
    </row>
    <row r="808" spans="1:26" ht="16.8" customHeight="true">
      <c r="A808" s="57" t="s">
        <v>2891</v>
      </c>
      <c r="B808" s="58" t="s">
        <v>2221</v>
      </c>
      <c r="C808" s="58" t="s">
        <v>351</v>
      </c>
      <c r="D808" s="58" t="s">
        <v>2222</v>
      </c>
      <c r="E808" s="59" t="s">
        <v>2223</v>
      </c>
      <c r="F808" s="53" t="s"/>
      <c r="G808" s="53" t="s"/>
      <c r="H808" s="53" t="s"/>
      <c r="I808" s="53" t="s"/>
      <c r="J808" s="53" t="s"/>
      <c r="K808" s="53" t="s"/>
      <c r="L808" s="53" t="s"/>
      <c r="M808" s="53" t="s"/>
      <c r="N808" s="53" t="s"/>
      <c r="O808" s="53" t="s"/>
      <c r="P808" s="53" t="s"/>
      <c r="Q808" s="53" t="s"/>
      <c r="R808" s="53" t="s"/>
      <c r="S808" s="53" t="s"/>
      <c r="T808" s="53" t="s"/>
      <c r="U808" s="53" t="s"/>
      <c r="V808" s="53" t="s"/>
      <c r="W808" s="53" t="s"/>
      <c r="X808" s="53" t="s"/>
      <c r="Y808" s="53" t="s"/>
      <c r="Z808" s="53" t="s"/>
    </row>
    <row r="809" spans="1:26" ht="16.8" customHeight="true">
      <c r="A809" s="57" t="s">
        <v>2892</v>
      </c>
      <c r="B809" s="58" t="s">
        <v>2224</v>
      </c>
      <c r="C809" s="58" t="s">
        <v>165</v>
      </c>
      <c r="D809" s="58" t="s"/>
      <c r="E809" s="59" t="s">
        <v>2225</v>
      </c>
      <c r="F809" s="53" t="s"/>
      <c r="G809" s="53" t="s"/>
      <c r="H809" s="53" t="s"/>
      <c r="I809" s="53" t="s"/>
      <c r="J809" s="53" t="s"/>
      <c r="K809" s="53" t="s"/>
      <c r="L809" s="53" t="s"/>
      <c r="M809" s="53" t="s"/>
      <c r="N809" s="53" t="s"/>
      <c r="O809" s="53" t="s"/>
      <c r="P809" s="53" t="s"/>
      <c r="Q809" s="53" t="s"/>
      <c r="R809" s="53" t="s"/>
      <c r="S809" s="53" t="s"/>
      <c r="T809" s="53" t="s"/>
      <c r="U809" s="53" t="s"/>
      <c r="V809" s="53" t="s"/>
      <c r="W809" s="53" t="s"/>
      <c r="X809" s="53" t="s"/>
      <c r="Y809" s="53" t="s"/>
      <c r="Z809" s="53" t="s"/>
    </row>
    <row r="810" spans="1:26" ht="16.8" customHeight="true">
      <c r="A810" s="57" t="s">
        <v>2893</v>
      </c>
      <c r="B810" s="58" t="s">
        <v>2226</v>
      </c>
      <c r="C810" s="58" t="s">
        <v>165</v>
      </c>
      <c r="D810" s="58" t="s"/>
      <c r="E810" s="59" t="s">
        <v>1316</v>
      </c>
      <c r="F810" s="53" t="s"/>
      <c r="G810" s="53" t="s"/>
      <c r="H810" s="53" t="s"/>
      <c r="I810" s="53" t="s"/>
      <c r="J810" s="53" t="s"/>
      <c r="K810" s="53" t="s"/>
      <c r="L810" s="53" t="s"/>
      <c r="M810" s="53" t="s"/>
      <c r="N810" s="53" t="s"/>
      <c r="O810" s="53" t="s"/>
      <c r="P810" s="53" t="s"/>
      <c r="Q810" s="53" t="s"/>
      <c r="R810" s="53" t="s"/>
      <c r="S810" s="53" t="s"/>
      <c r="T810" s="53" t="s"/>
      <c r="U810" s="53" t="s"/>
      <c r="V810" s="53" t="s"/>
      <c r="W810" s="53" t="s"/>
      <c r="X810" s="53" t="s"/>
      <c r="Y810" s="53" t="s"/>
      <c r="Z810" s="53" t="s"/>
    </row>
    <row r="811" spans="1:26" ht="16.8" customHeight="true">
      <c r="A811" s="57" t="s">
        <v>2894</v>
      </c>
      <c r="B811" s="58" t="s">
        <v>2227</v>
      </c>
      <c r="C811" s="58" t="s">
        <v>165</v>
      </c>
      <c r="D811" s="58" t="s"/>
      <c r="E811" s="59" t="s">
        <v>2228</v>
      </c>
      <c r="F811" s="53" t="s"/>
      <c r="G811" s="53" t="s"/>
      <c r="H811" s="53" t="s"/>
      <c r="I811" s="53" t="s"/>
      <c r="J811" s="53" t="s"/>
      <c r="K811" s="53" t="s"/>
      <c r="L811" s="53" t="s"/>
      <c r="M811" s="53" t="s"/>
      <c r="N811" s="53" t="s"/>
      <c r="O811" s="53" t="s"/>
      <c r="P811" s="53" t="s"/>
      <c r="Q811" s="53" t="s"/>
      <c r="R811" s="53" t="s"/>
      <c r="S811" s="53" t="s"/>
      <c r="T811" s="53" t="s"/>
      <c r="U811" s="53" t="s"/>
      <c r="V811" s="53" t="s"/>
      <c r="W811" s="53" t="s"/>
      <c r="X811" s="53" t="s"/>
      <c r="Y811" s="53" t="s"/>
      <c r="Z811" s="53" t="s"/>
    </row>
    <row r="812" spans="1:26" ht="16.8" customHeight="true">
      <c r="A812" s="57" t="s">
        <v>2895</v>
      </c>
      <c r="B812" s="58" t="s">
        <v>2229</v>
      </c>
      <c r="C812" s="58" t="s">
        <v>165</v>
      </c>
      <c r="D812" s="58" t="s"/>
      <c r="E812" s="59" t="s">
        <v>2230</v>
      </c>
      <c r="F812" s="53" t="s"/>
      <c r="G812" s="53" t="s"/>
      <c r="H812" s="53" t="s"/>
      <c r="I812" s="53" t="s"/>
      <c r="J812" s="53" t="s"/>
      <c r="K812" s="53" t="s"/>
      <c r="L812" s="53" t="s"/>
      <c r="M812" s="53" t="s"/>
      <c r="N812" s="53" t="s"/>
      <c r="O812" s="53" t="s"/>
      <c r="P812" s="53" t="s"/>
      <c r="Q812" s="53" t="s"/>
      <c r="R812" s="53" t="s"/>
      <c r="S812" s="53" t="s"/>
      <c r="T812" s="53" t="s"/>
      <c r="U812" s="53" t="s"/>
      <c r="V812" s="53" t="s"/>
      <c r="W812" s="53" t="s"/>
      <c r="X812" s="53" t="s"/>
      <c r="Y812" s="53" t="s"/>
      <c r="Z812" s="53" t="s"/>
    </row>
    <row r="813" spans="1:26" ht="16.8" customHeight="true">
      <c r="A813" s="57" t="s">
        <v>2896</v>
      </c>
      <c r="B813" s="58" t="s">
        <v>503</v>
      </c>
      <c r="C813" s="58" t="s">
        <v>443</v>
      </c>
      <c r="D813" s="58" t="s">
        <v>143</v>
      </c>
      <c r="E813" s="59" t="s">
        <v>2897</v>
      </c>
      <c r="F813" s="53" t="s"/>
      <c r="G813" s="53" t="s"/>
      <c r="H813" s="53" t="s"/>
      <c r="I813" s="53" t="s"/>
      <c r="J813" s="53" t="s"/>
      <c r="K813" s="53" t="s"/>
      <c r="L813" s="53" t="s"/>
      <c r="M813" s="53" t="s"/>
      <c r="N813" s="53" t="s"/>
      <c r="O813" s="53" t="s"/>
      <c r="P813" s="53" t="s"/>
      <c r="Q813" s="53" t="s"/>
      <c r="R813" s="53" t="s"/>
      <c r="S813" s="53" t="s"/>
      <c r="T813" s="53" t="s"/>
      <c r="U813" s="53" t="s"/>
      <c r="V813" s="53" t="s"/>
      <c r="W813" s="53" t="s"/>
      <c r="X813" s="53" t="s"/>
      <c r="Y813" s="53" t="s"/>
      <c r="Z813" s="53" t="s"/>
    </row>
    <row r="814" spans="1:26" ht="16.8" customHeight="true">
      <c r="A814" s="57" t="s">
        <v>2898</v>
      </c>
      <c r="B814" s="58" t="s">
        <v>671</v>
      </c>
      <c r="C814" s="58" t="s">
        <v>2231</v>
      </c>
      <c r="D814" s="58" t="s">
        <v>2232</v>
      </c>
      <c r="E814" s="59" t="s">
        <v>2233</v>
      </c>
      <c r="F814" s="53" t="s"/>
      <c r="G814" s="53" t="s"/>
      <c r="H814" s="53" t="s"/>
      <c r="I814" s="53" t="s"/>
      <c r="J814" s="53" t="s"/>
      <c r="K814" s="53" t="s"/>
      <c r="L814" s="53" t="s"/>
      <c r="M814" s="53" t="s"/>
      <c r="N814" s="53" t="s"/>
      <c r="O814" s="53" t="s"/>
      <c r="P814" s="53" t="s"/>
      <c r="Q814" s="53" t="s"/>
      <c r="R814" s="53" t="s"/>
      <c r="S814" s="53" t="s"/>
      <c r="T814" s="53" t="s"/>
      <c r="U814" s="53" t="s"/>
      <c r="V814" s="53" t="s"/>
      <c r="W814" s="53" t="s"/>
      <c r="X814" s="53" t="s"/>
      <c r="Y814" s="53" t="s"/>
      <c r="Z814" s="53" t="s"/>
    </row>
    <row r="815" spans="1:26" ht="16.8" customHeight="true">
      <c r="A815" s="57" t="s">
        <v>2899</v>
      </c>
      <c r="B815" s="58" t="s">
        <v>2234</v>
      </c>
      <c r="C815" s="58" t="s">
        <v>351</v>
      </c>
      <c r="D815" s="58" t="s">
        <v>2235</v>
      </c>
      <c r="E815" s="59" t="s">
        <v>2236</v>
      </c>
      <c r="F815" s="53" t="s"/>
      <c r="G815" s="53" t="s"/>
      <c r="H815" s="53" t="s"/>
      <c r="I815" s="53" t="s"/>
      <c r="J815" s="53" t="s"/>
      <c r="K815" s="53" t="s"/>
      <c r="L815" s="53" t="s"/>
      <c r="M815" s="53" t="s"/>
      <c r="N815" s="53" t="s"/>
      <c r="O815" s="53" t="s"/>
      <c r="P815" s="53" t="s"/>
      <c r="Q815" s="53" t="s"/>
      <c r="R815" s="53" t="s"/>
      <c r="S815" s="53" t="s"/>
      <c r="T815" s="53" t="s"/>
      <c r="U815" s="53" t="s"/>
      <c r="V815" s="53" t="s"/>
      <c r="W815" s="53" t="s"/>
      <c r="X815" s="53" t="s"/>
      <c r="Y815" s="53" t="s"/>
      <c r="Z815" s="53" t="s"/>
    </row>
    <row r="816" spans="1:26" ht="16.8" customHeight="true">
      <c r="A816" s="57" t="s">
        <v>2900</v>
      </c>
      <c r="B816" s="58" t="s">
        <v>2237</v>
      </c>
      <c r="C816" s="58" t="s">
        <v>165</v>
      </c>
      <c r="D816" s="58" t="s"/>
      <c r="E816" s="59" t="s">
        <v>2238</v>
      </c>
      <c r="F816" s="53" t="s"/>
      <c r="G816" s="53" t="s"/>
      <c r="H816" s="53" t="s"/>
      <c r="I816" s="53" t="s"/>
      <c r="J816" s="53" t="s"/>
      <c r="K816" s="53" t="s"/>
      <c r="L816" s="53" t="s"/>
      <c r="M816" s="53" t="s"/>
      <c r="N816" s="53" t="s"/>
      <c r="O816" s="53" t="s"/>
      <c r="P816" s="53" t="s"/>
      <c r="Q816" s="53" t="s"/>
      <c r="R816" s="53" t="s"/>
      <c r="S816" s="53" t="s"/>
      <c r="T816" s="53" t="s"/>
      <c r="U816" s="53" t="s"/>
      <c r="V816" s="53" t="s"/>
      <c r="W816" s="53" t="s"/>
      <c r="X816" s="53" t="s"/>
      <c r="Y816" s="53" t="s"/>
      <c r="Z816" s="53" t="s"/>
    </row>
    <row r="817" spans="1:26" ht="16.8" customHeight="true">
      <c r="A817" s="57" t="s">
        <v>2901</v>
      </c>
      <c r="B817" s="58" t="s">
        <v>2239</v>
      </c>
      <c r="C817" s="58" t="s">
        <v>165</v>
      </c>
      <c r="D817" s="58" t="s"/>
      <c r="E817" s="59" t="s">
        <v>2240</v>
      </c>
      <c r="F817" s="53" t="s"/>
      <c r="G817" s="53" t="s"/>
      <c r="H817" s="53" t="s"/>
      <c r="I817" s="53" t="s"/>
      <c r="J817" s="53" t="s"/>
      <c r="K817" s="53" t="s"/>
      <c r="L817" s="53" t="s"/>
      <c r="M817" s="53" t="s"/>
      <c r="N817" s="53" t="s"/>
      <c r="O817" s="53" t="s"/>
      <c r="P817" s="53" t="s"/>
      <c r="Q817" s="53" t="s"/>
      <c r="R817" s="53" t="s"/>
      <c r="S817" s="53" t="s"/>
      <c r="T817" s="53" t="s"/>
      <c r="U817" s="53" t="s"/>
      <c r="V817" s="53" t="s"/>
      <c r="W817" s="53" t="s"/>
      <c r="X817" s="53" t="s"/>
      <c r="Y817" s="53" t="s"/>
      <c r="Z817" s="53" t="s"/>
    </row>
    <row r="818" spans="1:26" ht="16.8" customHeight="true">
      <c r="A818" s="57" t="s">
        <v>2902</v>
      </c>
      <c r="B818" s="58" t="s">
        <v>2241</v>
      </c>
      <c r="C818" s="58" t="s">
        <v>165</v>
      </c>
      <c r="D818" s="58" t="s"/>
      <c r="E818" s="59" t="s">
        <v>2242</v>
      </c>
      <c r="F818" s="53" t="s"/>
      <c r="G818" s="53" t="s"/>
      <c r="H818" s="53" t="s"/>
      <c r="I818" s="53" t="s"/>
      <c r="J818" s="53" t="s"/>
      <c r="K818" s="53" t="s"/>
      <c r="L818" s="53" t="s"/>
      <c r="M818" s="53" t="s"/>
      <c r="N818" s="53" t="s"/>
      <c r="O818" s="53" t="s"/>
      <c r="P818" s="53" t="s"/>
      <c r="Q818" s="53" t="s"/>
      <c r="R818" s="53" t="s"/>
      <c r="S818" s="53" t="s"/>
      <c r="T818" s="53" t="s"/>
      <c r="U818" s="53" t="s"/>
      <c r="V818" s="53" t="s"/>
      <c r="W818" s="53" t="s"/>
      <c r="X818" s="53" t="s"/>
      <c r="Y818" s="53" t="s"/>
      <c r="Z818" s="53" t="s"/>
    </row>
    <row r="819" spans="1:26" ht="16.8" customHeight="true">
      <c r="A819" s="57" t="s">
        <v>2903</v>
      </c>
      <c r="B819" s="58" t="s">
        <v>2243</v>
      </c>
      <c r="C819" s="58" t="s">
        <v>165</v>
      </c>
      <c r="D819" s="58" t="s"/>
      <c r="E819" s="59" t="s">
        <v>2244</v>
      </c>
      <c r="F819" s="53" t="s"/>
      <c r="G819" s="53" t="s"/>
      <c r="H819" s="53" t="s"/>
      <c r="I819" s="53" t="s"/>
      <c r="J819" s="53" t="s"/>
      <c r="K819" s="53" t="s"/>
      <c r="L819" s="53" t="s"/>
      <c r="M819" s="53" t="s"/>
      <c r="N819" s="53" t="s"/>
      <c r="O819" s="53" t="s"/>
      <c r="P819" s="53" t="s"/>
      <c r="Q819" s="53" t="s"/>
      <c r="R819" s="53" t="s"/>
      <c r="S819" s="53" t="s"/>
      <c r="T819" s="53" t="s"/>
      <c r="U819" s="53" t="s"/>
      <c r="V819" s="53" t="s"/>
      <c r="W819" s="53" t="s"/>
      <c r="X819" s="53" t="s"/>
      <c r="Y819" s="53" t="s"/>
      <c r="Z819" s="53" t="s"/>
    </row>
    <row r="820" spans="1:26" ht="16.8" customHeight="true">
      <c r="A820" s="57" t="s">
        <v>2904</v>
      </c>
      <c r="B820" s="58" t="s">
        <v>2241</v>
      </c>
      <c r="C820" s="58" t="s">
        <v>165</v>
      </c>
      <c r="D820" s="58" t="s"/>
      <c r="E820" s="59" t="s">
        <v>2245</v>
      </c>
      <c r="F820" s="53" t="s"/>
      <c r="G820" s="53" t="s"/>
      <c r="H820" s="53" t="s"/>
      <c r="I820" s="53" t="s"/>
      <c r="J820" s="53" t="s"/>
      <c r="K820" s="53" t="s"/>
      <c r="L820" s="53" t="s"/>
      <c r="M820" s="53" t="s"/>
      <c r="N820" s="53" t="s"/>
      <c r="O820" s="53" t="s"/>
      <c r="P820" s="53" t="s"/>
      <c r="Q820" s="53" t="s"/>
      <c r="R820" s="53" t="s"/>
      <c r="S820" s="53" t="s"/>
      <c r="T820" s="53" t="s"/>
      <c r="U820" s="53" t="s"/>
      <c r="V820" s="53" t="s"/>
      <c r="W820" s="53" t="s"/>
      <c r="X820" s="53" t="s"/>
      <c r="Y820" s="53" t="s"/>
      <c r="Z820" s="53" t="s"/>
    </row>
    <row r="821" spans="1:26" ht="16.8" customHeight="true">
      <c r="A821" s="57" t="s">
        <v>2905</v>
      </c>
      <c r="B821" s="58" t="s">
        <v>2246</v>
      </c>
      <c r="C821" s="58" t="s">
        <v>395</v>
      </c>
      <c r="D821" s="58" t="s">
        <v>153</v>
      </c>
      <c r="E821" s="59" t="s">
        <v>2247</v>
      </c>
      <c r="F821" s="53" t="s"/>
      <c r="G821" s="53" t="s"/>
      <c r="H821" s="53" t="s"/>
      <c r="I821" s="53" t="s"/>
      <c r="J821" s="53" t="s"/>
      <c r="K821" s="53" t="s"/>
      <c r="L821" s="53" t="s"/>
      <c r="M821" s="53" t="s"/>
      <c r="N821" s="53" t="s"/>
      <c r="O821" s="53" t="s"/>
      <c r="P821" s="53" t="s"/>
      <c r="Q821" s="53" t="s"/>
      <c r="R821" s="53" t="s"/>
      <c r="S821" s="53" t="s"/>
      <c r="T821" s="53" t="s"/>
      <c r="U821" s="53" t="s"/>
      <c r="V821" s="53" t="s"/>
      <c r="W821" s="53" t="s"/>
      <c r="X821" s="53" t="s"/>
      <c r="Y821" s="53" t="s"/>
      <c r="Z821" s="53" t="s"/>
    </row>
    <row r="822" spans="1:26" ht="16.8" customHeight="true">
      <c r="A822" s="57" t="s">
        <v>2906</v>
      </c>
      <c r="B822" s="58" t="s">
        <v>2237</v>
      </c>
      <c r="C822" s="58" t="s">
        <v>165</v>
      </c>
      <c r="D822" s="58" t="s">
        <v>153</v>
      </c>
      <c r="E822" s="59" t="s">
        <v>2248</v>
      </c>
      <c r="F822" s="53" t="s"/>
      <c r="G822" s="53" t="s"/>
      <c r="H822" s="53" t="s"/>
      <c r="I822" s="53" t="s"/>
      <c r="J822" s="53" t="s"/>
      <c r="K822" s="53" t="s"/>
      <c r="L822" s="53" t="s"/>
      <c r="M822" s="53" t="s"/>
      <c r="N822" s="53" t="s"/>
      <c r="O822" s="53" t="s"/>
      <c r="P822" s="53" t="s"/>
      <c r="Q822" s="53" t="s"/>
      <c r="R822" s="53" t="s"/>
      <c r="S822" s="53" t="s"/>
      <c r="T822" s="53" t="s"/>
      <c r="U822" s="53" t="s"/>
      <c r="V822" s="53" t="s"/>
      <c r="W822" s="53" t="s"/>
      <c r="X822" s="53" t="s"/>
      <c r="Y822" s="53" t="s"/>
      <c r="Z822" s="53" t="s"/>
    </row>
    <row r="823" spans="1:26" ht="16.8" customHeight="true">
      <c r="A823" s="57" t="s">
        <v>2907</v>
      </c>
      <c r="B823" s="58" t="s">
        <v>2052</v>
      </c>
      <c r="C823" s="58" t="s">
        <v>165</v>
      </c>
      <c r="D823" s="58" t="s"/>
      <c r="E823" s="59" t="s">
        <v>2249</v>
      </c>
      <c r="F823" s="53" t="s"/>
      <c r="G823" s="53" t="s"/>
      <c r="H823" s="53" t="s"/>
      <c r="I823" s="53" t="s"/>
      <c r="J823" s="53" t="s"/>
      <c r="K823" s="53" t="s"/>
      <c r="L823" s="53" t="s"/>
      <c r="M823" s="53" t="s"/>
      <c r="N823" s="53" t="s"/>
      <c r="O823" s="53" t="s"/>
      <c r="P823" s="53" t="s"/>
      <c r="Q823" s="53" t="s"/>
      <c r="R823" s="53" t="s"/>
      <c r="S823" s="53" t="s"/>
      <c r="T823" s="53" t="s"/>
      <c r="U823" s="53" t="s"/>
      <c r="V823" s="53" t="s"/>
      <c r="W823" s="53" t="s"/>
      <c r="X823" s="53" t="s"/>
      <c r="Y823" s="53" t="s"/>
      <c r="Z823" s="53" t="s"/>
    </row>
    <row r="824" spans="1:26" ht="16.8" customHeight="true">
      <c r="A824" s="57" t="s">
        <v>2908</v>
      </c>
      <c r="B824" s="58" t="s">
        <v>2250</v>
      </c>
      <c r="C824" s="58" t="s">
        <v>165</v>
      </c>
      <c r="D824" s="58" t="s"/>
      <c r="E824" s="59" t="s">
        <v>2251</v>
      </c>
      <c r="F824" s="53" t="s"/>
      <c r="G824" s="53" t="s"/>
      <c r="H824" s="53" t="s"/>
      <c r="I824" s="53" t="s"/>
      <c r="J824" s="53" t="s"/>
      <c r="K824" s="53" t="s"/>
      <c r="L824" s="53" t="s"/>
      <c r="M824" s="53" t="s"/>
      <c r="N824" s="53" t="s"/>
      <c r="O824" s="53" t="s"/>
      <c r="P824" s="53" t="s"/>
      <c r="Q824" s="53" t="s"/>
      <c r="R824" s="53" t="s"/>
      <c r="S824" s="53" t="s"/>
      <c r="T824" s="53" t="s"/>
      <c r="U824" s="53" t="s"/>
      <c r="V824" s="53" t="s"/>
      <c r="W824" s="53" t="s"/>
      <c r="X824" s="53" t="s"/>
      <c r="Y824" s="53" t="s"/>
      <c r="Z824" s="53" t="s"/>
    </row>
    <row r="825" spans="1:26" ht="16.8" customHeight="true">
      <c r="A825" s="57" t="s">
        <v>2909</v>
      </c>
      <c r="B825" s="58" t="s">
        <v>1463</v>
      </c>
      <c r="C825" s="58" t="s">
        <v>165</v>
      </c>
      <c r="D825" s="58" t="s"/>
      <c r="E825" s="59" t="s">
        <v>2252</v>
      </c>
      <c r="F825" s="53" t="s"/>
      <c r="G825" s="53" t="s"/>
      <c r="H825" s="53" t="s"/>
      <c r="I825" s="53" t="s"/>
      <c r="J825" s="53" t="s"/>
      <c r="K825" s="53" t="s"/>
      <c r="L825" s="53" t="s"/>
      <c r="M825" s="53" t="s"/>
      <c r="N825" s="53" t="s"/>
      <c r="O825" s="53" t="s"/>
      <c r="P825" s="53" t="s"/>
      <c r="Q825" s="53" t="s"/>
      <c r="R825" s="53" t="s"/>
      <c r="S825" s="53" t="s"/>
      <c r="T825" s="53" t="s"/>
      <c r="U825" s="53" t="s"/>
      <c r="V825" s="53" t="s"/>
      <c r="W825" s="53" t="s"/>
      <c r="X825" s="53" t="s"/>
      <c r="Y825" s="53" t="s"/>
      <c r="Z825" s="53" t="s"/>
    </row>
    <row r="826" spans="1:26" ht="16.8" customHeight="true">
      <c r="A826" s="57" t="s">
        <v>2910</v>
      </c>
      <c r="B826" s="58" t="s">
        <v>1301</v>
      </c>
      <c r="C826" s="58" t="s">
        <v>165</v>
      </c>
      <c r="D826" s="58" t="s"/>
      <c r="E826" s="59" t="s">
        <v>2253</v>
      </c>
      <c r="F826" s="53" t="s"/>
      <c r="G826" s="53" t="s"/>
      <c r="H826" s="53" t="s"/>
      <c r="I826" s="53" t="s"/>
      <c r="J826" s="53" t="s"/>
      <c r="K826" s="53" t="s"/>
      <c r="L826" s="53" t="s"/>
      <c r="M826" s="53" t="s"/>
      <c r="N826" s="53" t="s"/>
      <c r="O826" s="53" t="s"/>
      <c r="P826" s="53" t="s"/>
      <c r="Q826" s="53" t="s"/>
      <c r="R826" s="53" t="s"/>
      <c r="S826" s="53" t="s"/>
      <c r="T826" s="53" t="s"/>
      <c r="U826" s="53" t="s"/>
      <c r="V826" s="53" t="s"/>
      <c r="W826" s="53" t="s"/>
      <c r="X826" s="53" t="s"/>
      <c r="Y826" s="53" t="s"/>
      <c r="Z826" s="53" t="s"/>
    </row>
    <row r="827" spans="1:26" ht="16.8" customHeight="true">
      <c r="A827" s="57" t="s">
        <v>2911</v>
      </c>
      <c r="B827" s="58" t="s">
        <v>2254</v>
      </c>
      <c r="C827" s="58" t="s">
        <v>165</v>
      </c>
      <c r="D827" s="58" t="s"/>
      <c r="E827" s="59" t="s">
        <v>1316</v>
      </c>
      <c r="F827" s="53" t="s"/>
      <c r="G827" s="53" t="s"/>
      <c r="H827" s="53" t="s"/>
      <c r="I827" s="53" t="s"/>
      <c r="J827" s="53" t="s"/>
      <c r="K827" s="53" t="s"/>
      <c r="L827" s="53" t="s"/>
      <c r="M827" s="53" t="s"/>
      <c r="N827" s="53" t="s"/>
      <c r="O827" s="53" t="s"/>
      <c r="P827" s="53" t="s"/>
      <c r="Q827" s="53" t="s"/>
      <c r="R827" s="53" t="s"/>
      <c r="S827" s="53" t="s"/>
      <c r="T827" s="53" t="s"/>
      <c r="U827" s="53" t="s"/>
      <c r="V827" s="53" t="s"/>
      <c r="W827" s="53" t="s"/>
      <c r="X827" s="53" t="s"/>
      <c r="Y827" s="53" t="s"/>
      <c r="Z827" s="53" t="s"/>
    </row>
    <row r="828" spans="1:26" ht="16.8" customHeight="true">
      <c r="A828" s="57" t="s">
        <v>2912</v>
      </c>
      <c r="B828" s="58" t="s">
        <v>2255</v>
      </c>
      <c r="C828" s="58" t="s">
        <v>165</v>
      </c>
      <c r="D828" s="58" t="s"/>
      <c r="E828" s="59" t="s">
        <v>2256</v>
      </c>
      <c r="F828" s="53" t="s"/>
      <c r="G828" s="53" t="s"/>
      <c r="H828" s="53" t="s"/>
      <c r="I828" s="53" t="s"/>
      <c r="J828" s="53" t="s"/>
      <c r="K828" s="53" t="s"/>
      <c r="L828" s="53" t="s"/>
      <c r="M828" s="53" t="s"/>
      <c r="N828" s="53" t="s"/>
      <c r="O828" s="53" t="s"/>
      <c r="P828" s="53" t="s"/>
      <c r="Q828" s="53" t="s"/>
      <c r="R828" s="53" t="s"/>
      <c r="S828" s="53" t="s"/>
      <c r="T828" s="53" t="s"/>
      <c r="U828" s="53" t="s"/>
      <c r="V828" s="53" t="s"/>
      <c r="W828" s="53" t="s"/>
      <c r="X828" s="53" t="s"/>
      <c r="Y828" s="53" t="s"/>
      <c r="Z828" s="53" t="s"/>
    </row>
    <row r="829" spans="1:26" ht="16.8" customHeight="true">
      <c r="A829" s="57" t="s">
        <v>2913</v>
      </c>
      <c r="B829" s="58" t="s">
        <v>721</v>
      </c>
      <c r="C829" s="58" t="s">
        <v>484</v>
      </c>
      <c r="D829" s="58" t="s">
        <v>148</v>
      </c>
      <c r="E829" s="59" t="s">
        <v>2257</v>
      </c>
      <c r="F829" s="53" t="s"/>
      <c r="G829" s="53" t="s"/>
      <c r="H829" s="53" t="s"/>
      <c r="I829" s="53" t="s"/>
      <c r="J829" s="53" t="s"/>
      <c r="K829" s="53" t="s"/>
      <c r="L829" s="53" t="s"/>
      <c r="M829" s="53" t="s"/>
      <c r="N829" s="53" t="s"/>
      <c r="O829" s="53" t="s"/>
      <c r="P829" s="53" t="s"/>
      <c r="Q829" s="53" t="s"/>
      <c r="R829" s="53" t="s"/>
      <c r="S829" s="53" t="s"/>
      <c r="T829" s="53" t="s"/>
      <c r="U829" s="53" t="s"/>
      <c r="V829" s="53" t="s"/>
      <c r="W829" s="53" t="s"/>
      <c r="X829" s="53" t="s"/>
      <c r="Y829" s="53" t="s"/>
      <c r="Z829" s="53" t="s"/>
    </row>
    <row r="830" spans="1:26" ht="16.8" customHeight="true">
      <c r="A830" s="57" t="s">
        <v>2914</v>
      </c>
      <c r="B830" s="58" t="s">
        <v>2258</v>
      </c>
      <c r="C830" s="58" t="s">
        <v>165</v>
      </c>
      <c r="D830" s="58" t="s">
        <v>918</v>
      </c>
      <c r="E830" s="59" t="s">
        <v>2259</v>
      </c>
      <c r="F830" s="53" t="s"/>
      <c r="G830" s="53" t="s"/>
      <c r="H830" s="53" t="s"/>
      <c r="I830" s="53" t="s"/>
      <c r="J830" s="53" t="s"/>
      <c r="K830" s="53" t="s"/>
      <c r="L830" s="53" t="s"/>
      <c r="M830" s="53" t="s"/>
      <c r="N830" s="53" t="s"/>
      <c r="O830" s="53" t="s"/>
      <c r="P830" s="53" t="s"/>
      <c r="Q830" s="53" t="s"/>
      <c r="R830" s="53" t="s"/>
      <c r="S830" s="53" t="s"/>
      <c r="T830" s="53" t="s"/>
      <c r="U830" s="53" t="s"/>
      <c r="V830" s="53" t="s"/>
      <c r="W830" s="53" t="s"/>
      <c r="X830" s="53" t="s"/>
      <c r="Y830" s="53" t="s"/>
      <c r="Z830" s="53" t="s"/>
    </row>
    <row r="831" spans="1:26" ht="16.8" customHeight="true">
      <c r="A831" s="57" t="s">
        <v>2915</v>
      </c>
      <c r="B831" s="58" t="s">
        <v>2260</v>
      </c>
      <c r="C831" s="58" t="s">
        <v>165</v>
      </c>
      <c r="D831" s="58" t="s"/>
      <c r="E831" s="59" t="s">
        <v>492</v>
      </c>
      <c r="F831" s="53" t="s"/>
      <c r="G831" s="53" t="s"/>
      <c r="H831" s="53" t="s"/>
      <c r="I831" s="53" t="s"/>
      <c r="J831" s="53" t="s"/>
      <c r="K831" s="53" t="s"/>
      <c r="L831" s="53" t="s"/>
      <c r="M831" s="53" t="s"/>
      <c r="N831" s="53" t="s"/>
      <c r="O831" s="53" t="s"/>
      <c r="P831" s="53" t="s"/>
      <c r="Q831" s="53" t="s"/>
      <c r="R831" s="53" t="s"/>
      <c r="S831" s="53" t="s"/>
      <c r="T831" s="53" t="s"/>
      <c r="U831" s="53" t="s"/>
      <c r="V831" s="53" t="s"/>
      <c r="W831" s="53" t="s"/>
      <c r="X831" s="53" t="s"/>
      <c r="Y831" s="53" t="s"/>
      <c r="Z831" s="53" t="s"/>
    </row>
    <row r="832" spans="1:26" ht="16.8" customHeight="true">
      <c r="A832" s="57" t="s">
        <v>2916</v>
      </c>
      <c r="B832" s="58" t="s">
        <v>2261</v>
      </c>
      <c r="C832" s="58" t="s">
        <v>165</v>
      </c>
      <c r="D832" s="58" t="s"/>
      <c r="E832" s="59" t="s">
        <v>2262</v>
      </c>
      <c r="F832" s="53" t="s"/>
      <c r="G832" s="53" t="s"/>
      <c r="H832" s="53" t="s"/>
      <c r="I832" s="53" t="s"/>
      <c r="J832" s="53" t="s"/>
      <c r="K832" s="53" t="s"/>
      <c r="L832" s="53" t="s"/>
      <c r="M832" s="53" t="s"/>
      <c r="N832" s="53" t="s"/>
      <c r="O832" s="53" t="s"/>
      <c r="P832" s="53" t="s"/>
      <c r="Q832" s="53" t="s"/>
      <c r="R832" s="53" t="s"/>
      <c r="S832" s="53" t="s"/>
      <c r="T832" s="53" t="s"/>
      <c r="U832" s="53" t="s"/>
      <c r="V832" s="53" t="s"/>
      <c r="W832" s="53" t="s"/>
      <c r="X832" s="53" t="s"/>
      <c r="Y832" s="53" t="s"/>
      <c r="Z832" s="53" t="s"/>
    </row>
    <row r="833" spans="1:26" ht="16.8" customHeight="true">
      <c r="A833" s="57" t="s">
        <v>2917</v>
      </c>
      <c r="B833" s="58" t="s">
        <v>2263</v>
      </c>
      <c r="C833" s="58" t="s">
        <v>2264</v>
      </c>
      <c r="D833" s="58" t="s"/>
      <c r="E833" s="59" t="s">
        <v>2265</v>
      </c>
      <c r="F833" s="53" t="s"/>
      <c r="G833" s="53" t="s"/>
      <c r="H833" s="53" t="s"/>
      <c r="I833" s="53" t="s"/>
      <c r="J833" s="53" t="s"/>
      <c r="K833" s="53" t="s"/>
      <c r="L833" s="53" t="s"/>
      <c r="M833" s="53" t="s"/>
      <c r="N833" s="53" t="s"/>
      <c r="O833" s="53" t="s"/>
      <c r="P833" s="53" t="s"/>
      <c r="Q833" s="53" t="s"/>
      <c r="R833" s="53" t="s"/>
      <c r="S833" s="53" t="s"/>
      <c r="T833" s="53" t="s"/>
      <c r="U833" s="53" t="s"/>
      <c r="V833" s="53" t="s"/>
      <c r="W833" s="53" t="s"/>
      <c r="X833" s="53" t="s"/>
      <c r="Y833" s="53" t="s"/>
      <c r="Z833" s="53" t="s"/>
    </row>
    <row r="834" spans="1:26" ht="16.8" customHeight="true">
      <c r="A834" s="57" t="s">
        <v>2918</v>
      </c>
      <c r="B834" s="58" t="s">
        <v>2266</v>
      </c>
      <c r="C834" s="58" t="s">
        <v>165</v>
      </c>
      <c r="D834" s="58" t="s"/>
      <c r="E834" s="59" t="s">
        <v>1806</v>
      </c>
      <c r="F834" s="53" t="s"/>
      <c r="G834" s="53" t="s"/>
      <c r="H834" s="53" t="s"/>
      <c r="I834" s="53" t="s"/>
      <c r="J834" s="53" t="s"/>
      <c r="K834" s="53" t="s"/>
      <c r="L834" s="53" t="s"/>
      <c r="M834" s="53" t="s"/>
      <c r="N834" s="53" t="s"/>
      <c r="O834" s="53" t="s"/>
      <c r="P834" s="53" t="s"/>
      <c r="Q834" s="53" t="s"/>
      <c r="R834" s="53" t="s"/>
      <c r="S834" s="53" t="s"/>
      <c r="T834" s="53" t="s"/>
      <c r="U834" s="53" t="s"/>
      <c r="V834" s="53" t="s"/>
      <c r="W834" s="53" t="s"/>
      <c r="X834" s="53" t="s"/>
      <c r="Y834" s="53" t="s"/>
      <c r="Z834" s="53" t="s"/>
    </row>
    <row r="835" spans="1:26" ht="16.8" customHeight="true">
      <c r="A835" s="57" t="s">
        <v>2919</v>
      </c>
      <c r="B835" s="58" t="s">
        <v>373</v>
      </c>
      <c r="C835" s="58" t="s">
        <v>165</v>
      </c>
      <c r="D835" s="58" t="s"/>
      <c r="E835" s="59" t="s">
        <v>2920</v>
      </c>
      <c r="F835" s="53" t="s"/>
      <c r="G835" s="53" t="s"/>
      <c r="H835" s="53" t="s"/>
      <c r="I835" s="53" t="s"/>
      <c r="J835" s="53" t="s"/>
      <c r="K835" s="53" t="s"/>
      <c r="L835" s="53" t="s"/>
      <c r="M835" s="53" t="s"/>
      <c r="N835" s="53" t="s"/>
      <c r="O835" s="53" t="s"/>
      <c r="P835" s="53" t="s"/>
      <c r="Q835" s="53" t="s"/>
      <c r="R835" s="53" t="s"/>
      <c r="S835" s="53" t="s"/>
      <c r="T835" s="53" t="s"/>
      <c r="U835" s="53" t="s"/>
      <c r="V835" s="53" t="s"/>
      <c r="W835" s="53" t="s"/>
      <c r="X835" s="53" t="s"/>
      <c r="Y835" s="53" t="s"/>
      <c r="Z835" s="53" t="s"/>
    </row>
    <row r="836" spans="1:26" ht="16.8" customHeight="true">
      <c r="A836" s="57" t="s">
        <v>2921</v>
      </c>
      <c r="B836" s="58" t="s">
        <v>2267</v>
      </c>
      <c r="C836" s="58" t="s">
        <v>165</v>
      </c>
      <c r="D836" s="58" t="s"/>
      <c r="E836" s="59" t="s">
        <v>2268</v>
      </c>
      <c r="F836" s="53" t="s"/>
      <c r="G836" s="53" t="s"/>
      <c r="H836" s="53" t="s"/>
      <c r="I836" s="53" t="s"/>
      <c r="J836" s="53" t="s"/>
      <c r="K836" s="53" t="s"/>
      <c r="L836" s="53" t="s"/>
      <c r="M836" s="53" t="s"/>
      <c r="N836" s="53" t="s"/>
      <c r="O836" s="53" t="s"/>
      <c r="P836" s="53" t="s"/>
      <c r="Q836" s="53" t="s"/>
      <c r="R836" s="53" t="s"/>
      <c r="S836" s="53" t="s"/>
      <c r="T836" s="53" t="s"/>
      <c r="U836" s="53" t="s"/>
      <c r="V836" s="53" t="s"/>
      <c r="W836" s="53" t="s"/>
      <c r="X836" s="53" t="s"/>
      <c r="Y836" s="53" t="s"/>
      <c r="Z836" s="53" t="s"/>
    </row>
    <row r="837" spans="1:26" ht="16.8" customHeight="true">
      <c r="A837" s="57" t="s">
        <v>2922</v>
      </c>
      <c r="B837" s="58" t="s">
        <v>2269</v>
      </c>
      <c r="C837" s="58" t="s">
        <v>165</v>
      </c>
      <c r="D837" s="58" t="s"/>
      <c r="E837" s="59" t="s">
        <v>2270</v>
      </c>
      <c r="F837" s="53" t="s"/>
      <c r="G837" s="53" t="s"/>
      <c r="H837" s="53" t="s"/>
      <c r="I837" s="53" t="s"/>
      <c r="J837" s="53" t="s"/>
      <c r="K837" s="53" t="s"/>
      <c r="L837" s="53" t="s"/>
      <c r="M837" s="53" t="s"/>
      <c r="N837" s="53" t="s"/>
      <c r="O837" s="53" t="s"/>
      <c r="P837" s="53" t="s"/>
      <c r="Q837" s="53" t="s"/>
      <c r="R837" s="53" t="s"/>
      <c r="S837" s="53" t="s"/>
      <c r="T837" s="53" t="s"/>
      <c r="U837" s="53" t="s"/>
      <c r="V837" s="53" t="s"/>
      <c r="W837" s="53" t="s"/>
      <c r="X837" s="53" t="s"/>
      <c r="Y837" s="53" t="s"/>
      <c r="Z837" s="53" t="s"/>
    </row>
    <row r="838" spans="1:26" ht="16.8" customHeight="true">
      <c r="A838" s="57" t="s">
        <v>2923</v>
      </c>
      <c r="B838" s="58" t="s">
        <v>2271</v>
      </c>
      <c r="C838" s="58" t="s">
        <v>147</v>
      </c>
      <c r="D838" s="58" t="s">
        <v>232</v>
      </c>
      <c r="E838" s="59" t="s">
        <v>2272</v>
      </c>
      <c r="F838" s="53" t="s"/>
      <c r="G838" s="53" t="s"/>
      <c r="H838" s="53" t="s"/>
      <c r="I838" s="53" t="s"/>
      <c r="J838" s="53" t="s"/>
      <c r="K838" s="53" t="s"/>
      <c r="L838" s="53" t="s"/>
      <c r="M838" s="53" t="s"/>
      <c r="N838" s="53" t="s"/>
      <c r="O838" s="53" t="s"/>
      <c r="P838" s="53" t="s"/>
      <c r="Q838" s="53" t="s"/>
      <c r="R838" s="53" t="s"/>
      <c r="S838" s="53" t="s"/>
      <c r="T838" s="53" t="s"/>
      <c r="U838" s="53" t="s"/>
      <c r="V838" s="53" t="s"/>
      <c r="W838" s="53" t="s"/>
      <c r="X838" s="53" t="s"/>
      <c r="Y838" s="53" t="s"/>
      <c r="Z838" s="53" t="s"/>
    </row>
    <row r="839" spans="1:26" ht="16.8" customHeight="true">
      <c r="A839" s="57" t="s">
        <v>2924</v>
      </c>
      <c r="B839" s="58" t="s">
        <v>2273</v>
      </c>
      <c r="C839" s="58" t="s">
        <v>152</v>
      </c>
      <c r="D839" s="58" t="s">
        <v>157</v>
      </c>
      <c r="E839" s="59" t="s">
        <v>288</v>
      </c>
      <c r="F839" s="53" t="s"/>
      <c r="G839" s="53" t="s"/>
      <c r="H839" s="53" t="s"/>
      <c r="I839" s="53" t="s"/>
      <c r="J839" s="53" t="s"/>
      <c r="K839" s="53" t="s"/>
      <c r="L839" s="53" t="s"/>
      <c r="M839" s="53" t="s"/>
      <c r="N839" s="53" t="s"/>
      <c r="O839" s="53" t="s"/>
      <c r="P839" s="53" t="s"/>
      <c r="Q839" s="53" t="s"/>
      <c r="R839" s="53" t="s"/>
      <c r="S839" s="53" t="s"/>
      <c r="T839" s="53" t="s"/>
      <c r="U839" s="53" t="s"/>
      <c r="V839" s="53" t="s"/>
      <c r="W839" s="53" t="s"/>
      <c r="X839" s="53" t="s"/>
      <c r="Y839" s="53" t="s"/>
      <c r="Z839" s="53" t="s"/>
    </row>
    <row r="840" spans="1:26" ht="16.8" customHeight="true">
      <c r="A840" s="57" t="s">
        <v>2925</v>
      </c>
      <c r="B840" s="58" t="s">
        <v>2274</v>
      </c>
      <c r="C840" s="58" t="s">
        <v>165</v>
      </c>
      <c r="D840" s="58" t="s"/>
      <c r="E840" s="59" t="s">
        <v>2275</v>
      </c>
      <c r="F840" s="53" t="s"/>
      <c r="G840" s="53" t="s"/>
      <c r="H840" s="53" t="s"/>
      <c r="I840" s="53" t="s"/>
      <c r="J840" s="53" t="s"/>
      <c r="K840" s="53" t="s"/>
      <c r="L840" s="53" t="s"/>
      <c r="M840" s="53" t="s"/>
      <c r="N840" s="53" t="s"/>
      <c r="O840" s="53" t="s"/>
      <c r="P840" s="53" t="s"/>
      <c r="Q840" s="53" t="s"/>
      <c r="R840" s="53" t="s"/>
      <c r="S840" s="53" t="s"/>
      <c r="T840" s="53" t="s"/>
      <c r="U840" s="53" t="s"/>
      <c r="V840" s="53" t="s"/>
      <c r="W840" s="53" t="s"/>
      <c r="X840" s="53" t="s"/>
      <c r="Y840" s="53" t="s"/>
      <c r="Z840" s="53" t="s"/>
    </row>
    <row r="841" spans="1:26" ht="16.8" customHeight="true">
      <c r="A841" s="57" t="s">
        <v>2926</v>
      </c>
      <c r="B841" s="58" t="s">
        <v>2276</v>
      </c>
      <c r="C841" s="58" t="s">
        <v>165</v>
      </c>
      <c r="D841" s="58" t="s"/>
      <c r="E841" s="59" t="s">
        <v>2277</v>
      </c>
      <c r="F841" s="53" t="s"/>
      <c r="G841" s="53" t="s"/>
      <c r="H841" s="53" t="s"/>
      <c r="I841" s="53" t="s"/>
      <c r="J841" s="53" t="s"/>
      <c r="K841" s="53" t="s"/>
      <c r="L841" s="53" t="s"/>
      <c r="M841" s="53" t="s"/>
      <c r="N841" s="53" t="s"/>
      <c r="O841" s="53" t="s"/>
      <c r="P841" s="53" t="s"/>
      <c r="Q841" s="53" t="s"/>
      <c r="R841" s="53" t="s"/>
      <c r="S841" s="53" t="s"/>
      <c r="T841" s="53" t="s"/>
      <c r="U841" s="53" t="s"/>
      <c r="V841" s="53" t="s"/>
      <c r="W841" s="53" t="s"/>
      <c r="X841" s="53" t="s"/>
      <c r="Y841" s="53" t="s"/>
      <c r="Z841" s="53" t="s"/>
    </row>
    <row r="842" spans="1:26" ht="16.8" customHeight="true">
      <c r="A842" s="57" t="s">
        <v>2927</v>
      </c>
      <c r="B842" s="58" t="s">
        <v>994</v>
      </c>
      <c r="C842" s="58" t="s">
        <v>165</v>
      </c>
      <c r="D842" s="58" t="s"/>
      <c r="E842" s="59" t="s">
        <v>2278</v>
      </c>
      <c r="F842" s="53" t="s"/>
      <c r="G842" s="53" t="s"/>
      <c r="H842" s="53" t="s"/>
      <c r="I842" s="53" t="s"/>
      <c r="J842" s="53" t="s"/>
      <c r="K842" s="53" t="s"/>
      <c r="L842" s="53" t="s"/>
      <c r="M842" s="53" t="s"/>
      <c r="N842" s="53" t="s"/>
      <c r="O842" s="53" t="s"/>
      <c r="P842" s="53" t="s"/>
      <c r="Q842" s="53" t="s"/>
      <c r="R842" s="53" t="s"/>
      <c r="S842" s="53" t="s"/>
      <c r="T842" s="53" t="s"/>
      <c r="U842" s="53" t="s"/>
      <c r="V842" s="53" t="s"/>
      <c r="W842" s="53" t="s"/>
      <c r="X842" s="53" t="s"/>
      <c r="Y842" s="53" t="s"/>
      <c r="Z842" s="53" t="s"/>
    </row>
    <row r="843" spans="1:26" ht="16.8" customHeight="true">
      <c r="A843" s="57" t="s">
        <v>2928</v>
      </c>
      <c r="B843" s="58" t="s">
        <v>2279</v>
      </c>
      <c r="C843" s="58" t="s">
        <v>152</v>
      </c>
      <c r="D843" s="58" t="s">
        <v>1420</v>
      </c>
      <c r="E843" s="59" t="s">
        <v>2280</v>
      </c>
      <c r="F843" s="53" t="s"/>
      <c r="G843" s="53" t="s"/>
      <c r="H843" s="53" t="s"/>
      <c r="I843" s="53" t="s"/>
      <c r="J843" s="53" t="s"/>
      <c r="K843" s="53" t="s"/>
      <c r="L843" s="53" t="s"/>
      <c r="M843" s="53" t="s"/>
      <c r="N843" s="53" t="s"/>
      <c r="O843" s="53" t="s"/>
      <c r="P843" s="53" t="s"/>
      <c r="Q843" s="53" t="s"/>
      <c r="R843" s="53" t="s"/>
      <c r="S843" s="53" t="s"/>
      <c r="T843" s="53" t="s"/>
      <c r="U843" s="53" t="s"/>
      <c r="V843" s="53" t="s"/>
      <c r="W843" s="53" t="s"/>
      <c r="X843" s="53" t="s"/>
      <c r="Y843" s="53" t="s"/>
      <c r="Z843" s="53" t="s"/>
    </row>
    <row r="844" spans="1:26" ht="16.8" customHeight="true">
      <c r="A844" s="57" t="s">
        <v>2929</v>
      </c>
      <c r="B844" s="58" t="s">
        <v>2281</v>
      </c>
      <c r="C844" s="58" t="s">
        <v>165</v>
      </c>
      <c r="D844" s="58" t="s"/>
      <c r="E844" s="59" t="s">
        <v>521</v>
      </c>
      <c r="F844" s="53" t="s"/>
      <c r="G844" s="53" t="s"/>
      <c r="H844" s="53" t="s"/>
      <c r="I844" s="53" t="s"/>
      <c r="J844" s="53" t="s"/>
      <c r="K844" s="53" t="s"/>
      <c r="L844" s="53" t="s"/>
      <c r="M844" s="53" t="s"/>
      <c r="N844" s="53" t="s"/>
      <c r="O844" s="53" t="s"/>
      <c r="P844" s="53" t="s"/>
      <c r="Q844" s="53" t="s"/>
      <c r="R844" s="53" t="s"/>
      <c r="S844" s="53" t="s"/>
      <c r="T844" s="53" t="s"/>
      <c r="U844" s="53" t="s"/>
      <c r="V844" s="53" t="s"/>
      <c r="W844" s="53" t="s"/>
      <c r="X844" s="53" t="s"/>
      <c r="Y844" s="53" t="s"/>
      <c r="Z844" s="53" t="s"/>
    </row>
    <row r="845" spans="1:26" ht="16.8" customHeight="true">
      <c r="A845" s="57" t="s">
        <v>2930</v>
      </c>
      <c r="B845" s="58" t="s">
        <v>2282</v>
      </c>
      <c r="C845" s="58" t="s">
        <v>165</v>
      </c>
      <c r="D845" s="58" t="s"/>
      <c r="E845" s="59" t="s">
        <v>2283</v>
      </c>
      <c r="F845" s="53" t="s"/>
      <c r="G845" s="53" t="s"/>
      <c r="H845" s="53" t="s"/>
      <c r="I845" s="53" t="s"/>
      <c r="J845" s="53" t="s"/>
      <c r="K845" s="53" t="s"/>
      <c r="L845" s="53" t="s"/>
      <c r="M845" s="53" t="s"/>
      <c r="N845" s="53" t="s"/>
      <c r="O845" s="53" t="s"/>
      <c r="P845" s="53" t="s"/>
      <c r="Q845" s="53" t="s"/>
      <c r="R845" s="53" t="s"/>
      <c r="S845" s="53" t="s"/>
      <c r="T845" s="53" t="s"/>
      <c r="U845" s="53" t="s"/>
      <c r="V845" s="53" t="s"/>
      <c r="W845" s="53" t="s"/>
      <c r="X845" s="53" t="s"/>
      <c r="Y845" s="53" t="s"/>
      <c r="Z845" s="53" t="s"/>
    </row>
    <row r="846" spans="1:26" ht="16.8" customHeight="true">
      <c r="A846" s="57" t="s">
        <v>2931</v>
      </c>
      <c r="B846" s="58" t="s">
        <v>2284</v>
      </c>
      <c r="C846" s="58" t="s">
        <v>165</v>
      </c>
      <c r="D846" s="58" t="s"/>
      <c r="E846" s="59" t="s">
        <v>2285</v>
      </c>
      <c r="F846" s="53" t="s"/>
      <c r="G846" s="53" t="s"/>
      <c r="H846" s="53" t="s"/>
      <c r="I846" s="53" t="s"/>
      <c r="J846" s="53" t="s"/>
      <c r="K846" s="53" t="s"/>
      <c r="L846" s="53" t="s"/>
      <c r="M846" s="53" t="s"/>
      <c r="N846" s="53" t="s"/>
      <c r="O846" s="53" t="s"/>
      <c r="P846" s="53" t="s"/>
      <c r="Q846" s="53" t="s"/>
      <c r="R846" s="53" t="s"/>
      <c r="S846" s="53" t="s"/>
      <c r="T846" s="53" t="s"/>
      <c r="U846" s="53" t="s"/>
      <c r="V846" s="53" t="s"/>
      <c r="W846" s="53" t="s"/>
      <c r="X846" s="53" t="s"/>
      <c r="Y846" s="53" t="s"/>
      <c r="Z846" s="53" t="s"/>
    </row>
    <row r="847" spans="1:26" ht="16.8" customHeight="true">
      <c r="A847" s="57" t="s">
        <v>2932</v>
      </c>
      <c r="B847" s="58" t="s">
        <v>2286</v>
      </c>
      <c r="C847" s="58" t="s">
        <v>165</v>
      </c>
      <c r="D847" s="58" t="s"/>
      <c r="E847" s="59" t="s">
        <v>2287</v>
      </c>
      <c r="F847" s="53" t="s"/>
      <c r="G847" s="53" t="s"/>
      <c r="H847" s="53" t="s"/>
      <c r="I847" s="53" t="s"/>
      <c r="J847" s="53" t="s"/>
      <c r="K847" s="53" t="s"/>
      <c r="L847" s="53" t="s"/>
      <c r="M847" s="53" t="s"/>
      <c r="N847" s="53" t="s"/>
      <c r="O847" s="53" t="s"/>
      <c r="P847" s="53" t="s"/>
      <c r="Q847" s="53" t="s"/>
      <c r="R847" s="53" t="s"/>
      <c r="S847" s="53" t="s"/>
      <c r="T847" s="53" t="s"/>
      <c r="U847" s="53" t="s"/>
      <c r="V847" s="53" t="s"/>
      <c r="W847" s="53" t="s"/>
      <c r="X847" s="53" t="s"/>
      <c r="Y847" s="53" t="s"/>
      <c r="Z847" s="53" t="s"/>
    </row>
    <row r="848" spans="1:26" ht="16.8" customHeight="true">
      <c r="A848" s="57" t="s">
        <v>2933</v>
      </c>
      <c r="B848" s="58" t="s">
        <v>1063</v>
      </c>
      <c r="C848" s="58" t="s">
        <v>165</v>
      </c>
      <c r="D848" s="58" t="s"/>
      <c r="E848" s="59" t="s">
        <v>2288</v>
      </c>
      <c r="F848" s="53" t="s"/>
      <c r="G848" s="53" t="s"/>
      <c r="H848" s="53" t="s"/>
      <c r="I848" s="53" t="s"/>
      <c r="J848" s="53" t="s"/>
      <c r="K848" s="53" t="s"/>
      <c r="L848" s="53" t="s"/>
      <c r="M848" s="53" t="s"/>
      <c r="N848" s="53" t="s"/>
      <c r="O848" s="53" t="s"/>
      <c r="P848" s="53" t="s"/>
      <c r="Q848" s="53" t="s"/>
      <c r="R848" s="53" t="s"/>
      <c r="S848" s="53" t="s"/>
      <c r="T848" s="53" t="s"/>
      <c r="U848" s="53" t="s"/>
      <c r="V848" s="53" t="s"/>
      <c r="W848" s="53" t="s"/>
      <c r="X848" s="53" t="s"/>
      <c r="Y848" s="53" t="s"/>
      <c r="Z848" s="53" t="s"/>
    </row>
    <row r="849" spans="1:26" ht="16.8" customHeight="true">
      <c r="A849" s="57" t="s">
        <v>2934</v>
      </c>
      <c r="B849" s="58" t="s">
        <v>2289</v>
      </c>
      <c r="C849" s="58" t="s">
        <v>152</v>
      </c>
      <c r="D849" s="58" t="s">
        <v>170</v>
      </c>
      <c r="E849" s="59" t="s">
        <v>2290</v>
      </c>
      <c r="F849" s="53" t="s"/>
      <c r="G849" s="53" t="s"/>
      <c r="H849" s="53" t="s"/>
      <c r="I849" s="53" t="s"/>
      <c r="J849" s="53" t="s"/>
      <c r="K849" s="53" t="s"/>
      <c r="L849" s="53" t="s"/>
      <c r="M849" s="53" t="s"/>
      <c r="N849" s="53" t="s"/>
      <c r="O849" s="53" t="s"/>
      <c r="P849" s="53" t="s"/>
      <c r="Q849" s="53" t="s"/>
      <c r="R849" s="53" t="s"/>
      <c r="S849" s="53" t="s"/>
      <c r="T849" s="53" t="s"/>
      <c r="U849" s="53" t="s"/>
      <c r="V849" s="53" t="s"/>
      <c r="W849" s="53" t="s"/>
      <c r="X849" s="53" t="s"/>
      <c r="Y849" s="53" t="s"/>
      <c r="Z849" s="53" t="s"/>
    </row>
    <row r="850" spans="1:26" ht="16.8" customHeight="true">
      <c r="A850" s="57" t="s">
        <v>2935</v>
      </c>
      <c r="B850" s="58" t="s">
        <v>2291</v>
      </c>
      <c r="C850" s="58" t="s">
        <v>165</v>
      </c>
      <c r="D850" s="58" t="s"/>
      <c r="E850" s="59" t="s">
        <v>2292</v>
      </c>
      <c r="F850" s="53" t="s"/>
      <c r="G850" s="53" t="s"/>
      <c r="H850" s="53" t="s"/>
      <c r="I850" s="53" t="s"/>
      <c r="J850" s="53" t="s"/>
      <c r="K850" s="53" t="s"/>
      <c r="L850" s="53" t="s"/>
      <c r="M850" s="53" t="s"/>
      <c r="N850" s="53" t="s"/>
      <c r="O850" s="53" t="s"/>
      <c r="P850" s="53" t="s"/>
      <c r="Q850" s="53" t="s"/>
      <c r="R850" s="53" t="s"/>
      <c r="S850" s="53" t="s"/>
      <c r="T850" s="53" t="s"/>
      <c r="U850" s="53" t="s"/>
      <c r="V850" s="53" t="s"/>
      <c r="W850" s="53" t="s"/>
      <c r="X850" s="53" t="s"/>
      <c r="Y850" s="53" t="s"/>
      <c r="Z850" s="53" t="s"/>
    </row>
    <row r="851" spans="1:26" ht="16.8" customHeight="true">
      <c r="A851" s="57" t="s">
        <v>2936</v>
      </c>
      <c r="B851" s="58" t="s">
        <v>531</v>
      </c>
      <c r="C851" s="58" t="s">
        <v>165</v>
      </c>
      <c r="D851" s="58" t="s"/>
      <c r="E851" s="59" t="s">
        <v>2293</v>
      </c>
      <c r="F851" s="53" t="s"/>
      <c r="G851" s="53" t="s"/>
      <c r="H851" s="53" t="s"/>
      <c r="I851" s="53" t="s"/>
      <c r="J851" s="53" t="s"/>
      <c r="K851" s="53" t="s"/>
      <c r="L851" s="53" t="s"/>
      <c r="M851" s="53" t="s"/>
      <c r="N851" s="53" t="s"/>
      <c r="O851" s="53" t="s"/>
      <c r="P851" s="53" t="s"/>
      <c r="Q851" s="53" t="s"/>
      <c r="R851" s="53" t="s"/>
      <c r="S851" s="53" t="s"/>
      <c r="T851" s="53" t="s"/>
      <c r="U851" s="53" t="s"/>
      <c r="V851" s="53" t="s"/>
      <c r="W851" s="53" t="s"/>
      <c r="X851" s="53" t="s"/>
      <c r="Y851" s="53" t="s"/>
      <c r="Z851" s="53" t="s"/>
    </row>
    <row r="852" spans="1:26" ht="16.8" customHeight="true">
      <c r="A852" s="57" t="s">
        <v>2937</v>
      </c>
      <c r="B852" s="58" t="s">
        <v>2294</v>
      </c>
      <c r="C852" s="58" t="s">
        <v>165</v>
      </c>
      <c r="D852" s="58" t="s"/>
      <c r="E852" s="59" t="s">
        <v>2295</v>
      </c>
      <c r="F852" s="53" t="s"/>
      <c r="G852" s="53" t="s"/>
      <c r="H852" s="53" t="s"/>
      <c r="I852" s="53" t="s"/>
      <c r="J852" s="53" t="s"/>
      <c r="K852" s="53" t="s"/>
      <c r="L852" s="53" t="s"/>
      <c r="M852" s="53" t="s"/>
      <c r="N852" s="53" t="s"/>
      <c r="O852" s="53" t="s"/>
      <c r="P852" s="53" t="s"/>
      <c r="Q852" s="53" t="s"/>
      <c r="R852" s="53" t="s"/>
      <c r="S852" s="53" t="s"/>
      <c r="T852" s="53" t="s"/>
      <c r="U852" s="53" t="s"/>
      <c r="V852" s="53" t="s"/>
      <c r="W852" s="53" t="s"/>
      <c r="X852" s="53" t="s"/>
      <c r="Y852" s="53" t="s"/>
      <c r="Z852" s="53" t="s"/>
    </row>
    <row r="853" spans="1:26" ht="16.8" customHeight="true">
      <c r="A853" s="57" t="s">
        <v>2938</v>
      </c>
      <c r="B853" s="58" t="s">
        <v>666</v>
      </c>
      <c r="C853" s="58" t="s">
        <v>165</v>
      </c>
      <c r="D853" s="58" t="s"/>
      <c r="E853" s="59" t="s">
        <v>2296</v>
      </c>
      <c r="F853" s="53" t="s"/>
      <c r="G853" s="53" t="s"/>
      <c r="H853" s="53" t="s"/>
      <c r="I853" s="53" t="s"/>
      <c r="J853" s="53" t="s"/>
      <c r="K853" s="53" t="s"/>
      <c r="L853" s="53" t="s"/>
      <c r="M853" s="53" t="s"/>
      <c r="N853" s="53" t="s"/>
      <c r="O853" s="53" t="s"/>
      <c r="P853" s="53" t="s"/>
      <c r="Q853" s="53" t="s"/>
      <c r="R853" s="53" t="s"/>
      <c r="S853" s="53" t="s"/>
      <c r="T853" s="53" t="s"/>
      <c r="U853" s="53" t="s"/>
      <c r="V853" s="53" t="s"/>
      <c r="W853" s="53" t="s"/>
      <c r="X853" s="53" t="s"/>
      <c r="Y853" s="53" t="s"/>
      <c r="Z853" s="53" t="s"/>
    </row>
    <row r="854" spans="1:26" ht="16.8" customHeight="true">
      <c r="A854" s="57" t="s">
        <v>2939</v>
      </c>
      <c r="B854" s="58" t="s">
        <v>364</v>
      </c>
      <c r="C854" s="58" t="s">
        <v>484</v>
      </c>
      <c r="D854" s="58" t="s"/>
      <c r="E854" s="59" t="s">
        <v>2297</v>
      </c>
      <c r="F854" s="53" t="s"/>
      <c r="G854" s="53" t="s"/>
      <c r="H854" s="53" t="s"/>
      <c r="I854" s="53" t="s"/>
      <c r="J854" s="53" t="s"/>
      <c r="K854" s="53" t="s"/>
      <c r="L854" s="53" t="s"/>
      <c r="M854" s="53" t="s"/>
      <c r="N854" s="53" t="s"/>
      <c r="O854" s="53" t="s"/>
      <c r="P854" s="53" t="s"/>
      <c r="Q854" s="53" t="s"/>
      <c r="R854" s="53" t="s"/>
      <c r="S854" s="53" t="s"/>
      <c r="T854" s="53" t="s"/>
      <c r="U854" s="53" t="s"/>
      <c r="V854" s="53" t="s"/>
      <c r="W854" s="53" t="s"/>
      <c r="X854" s="53" t="s"/>
      <c r="Y854" s="53" t="s"/>
      <c r="Z854" s="53" t="s"/>
    </row>
    <row r="855" spans="1:26" ht="16.8" customHeight="true">
      <c r="A855" s="57" t="s">
        <v>2940</v>
      </c>
      <c r="B855" s="58" t="s">
        <v>2298</v>
      </c>
      <c r="C855" s="58" t="s">
        <v>263</v>
      </c>
      <c r="D855" s="58" t="s">
        <v>170</v>
      </c>
      <c r="E855" s="59" t="s">
        <v>2299</v>
      </c>
      <c r="F855" s="53" t="s"/>
      <c r="G855" s="53" t="s"/>
      <c r="H855" s="53" t="s"/>
      <c r="I855" s="53" t="s"/>
      <c r="J855" s="53" t="s"/>
      <c r="K855" s="53" t="s"/>
      <c r="L855" s="53" t="s"/>
      <c r="M855" s="53" t="s"/>
      <c r="N855" s="53" t="s"/>
      <c r="O855" s="53" t="s"/>
      <c r="P855" s="53" t="s"/>
      <c r="Q855" s="53" t="s"/>
      <c r="R855" s="53" t="s"/>
      <c r="S855" s="53" t="s"/>
      <c r="T855" s="53" t="s"/>
      <c r="U855" s="53" t="s"/>
      <c r="V855" s="53" t="s"/>
      <c r="W855" s="53" t="s"/>
      <c r="X855" s="53" t="s"/>
      <c r="Y855" s="53" t="s"/>
      <c r="Z855" s="53" t="s"/>
    </row>
    <row r="856" spans="1:26" ht="16.8" customHeight="true">
      <c r="A856" s="57" t="s">
        <v>2941</v>
      </c>
      <c r="B856" s="58" t="s">
        <v>2300</v>
      </c>
      <c r="C856" s="58" t="s">
        <v>443</v>
      </c>
      <c r="D856" s="58" t="s">
        <v>153</v>
      </c>
      <c r="E856" s="59" t="s">
        <v>2301</v>
      </c>
      <c r="F856" s="53" t="s"/>
      <c r="G856" s="53" t="s"/>
      <c r="H856" s="53" t="s"/>
      <c r="I856" s="53" t="s"/>
      <c r="J856" s="53" t="s"/>
      <c r="K856" s="53" t="s"/>
      <c r="L856" s="53" t="s"/>
      <c r="M856" s="53" t="s"/>
      <c r="N856" s="53" t="s"/>
      <c r="O856" s="53" t="s"/>
      <c r="P856" s="53" t="s"/>
      <c r="Q856" s="53" t="s"/>
      <c r="R856" s="53" t="s"/>
      <c r="S856" s="53" t="s"/>
      <c r="T856" s="53" t="s"/>
      <c r="U856" s="53" t="s"/>
      <c r="V856" s="53" t="s"/>
      <c r="W856" s="53" t="s"/>
      <c r="X856" s="53" t="s"/>
      <c r="Y856" s="53" t="s"/>
      <c r="Z856" s="53" t="s"/>
    </row>
  </sheetData>
  <autoFilter ref="A3:E856">
    <sortState ref="A2:E180">
      <sortCondition sortBy="cellColor" ref="B3:B856" dxfId="0"/>
    </sortState>
  </autoFilter>
  <mergeCells count="6">
    <mergeCell ref="A2:E2"/>
    <mergeCell ref="A155:E155"/>
    <mergeCell ref="A1:E1"/>
    <mergeCell ref="A340:E340"/>
    <mergeCell ref="A511:E511"/>
    <mergeCell ref="A689:E689"/>
  </mergeCells>
  <pageMargins left="0.75" right="0.75" top="1" bottom="1" header="0.5" footer="0.5"/>
  <pageSetup orientation="portrait" horizontalDpi="300" verticalDpi="300"/>
  <headerFooter alignWithMargins="false"/>
</worksheet>
</file>

<file path=xl/worksheets/sheet3.xml><?xml version="1.0" encoding="utf-8"?>
<worksheet xmlns="http://schemas.openxmlformats.org/spreadsheetml/2006/main">
  <sheetPr/>
  <dimension ref="N13"/>
  <sheetViews>
    <sheetView showGridLines="false" workbookViewId="0"/>
  </sheetViews>
  <sheetFormatPr defaultColWidth="9" defaultRowHeight="16.2"/>
  <cols>
    <col min="2" max="2" width="14.6641" style="383" customWidth="true"/>
    <col min="3" max="3" width="101.664" style="383" customWidth="true"/>
    <col min="4" max="4" width="121.793" customWidth="true"/>
    <col min="5" max="5" width="86.4727" customWidth="true"/>
  </cols>
  <sheetData>
    <row r="2" spans="2:3" ht="15">
      <c r="B2" s="350" t="s">
        <v>2731</v>
      </c>
      <c r="C2" s="351" t="s"/>
    </row>
    <row r="3" spans="2:15" ht="16.5" customHeight="true">
      <c r="B3" s="352">
        <v>45992</v>
      </c>
      <c r="C3" s="353" t="s"/>
      <c r="D3" s="354">
        <v>46023</v>
      </c>
      <c r="E3" s="354">
        <v>46054</v>
      </c>
      <c r="F3" s="354">
        <v>46083</v>
      </c>
      <c r="O3" s="354">
        <v>46113</v>
      </c>
    </row>
    <row r="4" spans="2:23">
      <c r="B4" s="355" t="s">
        <v>2732</v>
      </c>
      <c r="C4" s="356" t="s"/>
      <c r="E4" s="356" t="s"/>
      <c r="F4" s="356" t="s"/>
      <c r="G4" s="357" t="s"/>
      <c r="H4" s="357" t="s"/>
      <c r="I4" s="357" t="s"/>
      <c r="J4" s="357" t="s"/>
      <c r="K4" s="357" t="s"/>
      <c r="L4" s="357" t="s"/>
      <c r="M4" s="357" t="s"/>
      <c r="N4" s="357" t="s"/>
      <c r="O4" s="356" t="s"/>
      <c r="P4" s="357" t="s"/>
      <c r="Q4" s="357" t="s"/>
      <c r="R4" s="357" t="s"/>
      <c r="S4" s="357" t="s"/>
      <c r="T4" s="357" t="s"/>
      <c r="U4" s="357" t="s"/>
      <c r="V4" s="357" t="s"/>
      <c r="W4" s="357" t="s"/>
    </row>
    <row r="5" spans="2:14" ht="79.5" customHeight="true">
      <c r="B5" s="358" t="s">
        <v>2537</v>
      </c>
      <c r="C5" s="359" t="s">
        <v>2733</v>
      </c>
      <c r="D5" s="360" t="s">
        <v>2734</v>
      </c>
      <c r="E5" s="361" t="s">
        <v>2735</v>
      </c>
      <c r="F5" s="362" t="s">
        <v>2736</v>
      </c>
      <c r="G5" s="363" t="s"/>
      <c r="H5" s="363" t="s"/>
      <c r="I5" s="363" t="s"/>
      <c r="J5" s="363" t="s"/>
      <c r="K5" s="363" t="s"/>
      <c r="L5" s="363" t="s"/>
      <c r="M5" s="363" t="s"/>
      <c r="N5" s="364" t="s"/>
    </row>
    <row r="6" spans="2:14" ht="123.75" customHeight="true">
      <c r="B6" s="365" t="s">
        <v>2548</v>
      </c>
      <c r="C6" s="359" t="s">
        <v>2737</v>
      </c>
      <c r="D6" s="366" t="s">
        <v>2738</v>
      </c>
      <c r="E6" s="366" t="s">
        <v>2739</v>
      </c>
      <c r="F6" s="367" t="s">
        <v>2740</v>
      </c>
      <c r="G6" s="9" t="s"/>
      <c r="H6" s="9" t="s"/>
      <c r="I6" s="9" t="s"/>
      <c r="J6" s="9" t="s"/>
      <c r="K6" s="9" t="s"/>
      <c r="L6" s="9" t="s"/>
      <c r="M6" s="9" t="s"/>
      <c r="N6" s="368" t="s"/>
    </row>
    <row r="7" spans="2:14" ht="78">
      <c r="B7" s="365" t="s">
        <v>2415</v>
      </c>
      <c r="C7" s="359" t="s">
        <v>2741</v>
      </c>
      <c r="D7" s="366" t="s">
        <v>2742</v>
      </c>
      <c r="E7" s="366" t="s">
        <v>2743</v>
      </c>
      <c r="F7" s="367" t="s">
        <v>2744</v>
      </c>
      <c r="G7" s="9" t="s"/>
      <c r="H7" s="9" t="s"/>
      <c r="I7" s="9" t="s"/>
      <c r="J7" s="9" t="s"/>
      <c r="K7" s="9" t="s"/>
      <c r="L7" s="9" t="s"/>
      <c r="M7" s="9" t="s"/>
      <c r="N7" s="368" t="s"/>
    </row>
    <row r="8" spans="2:14">
      <c r="B8" s="365" t="s">
        <v>2425</v>
      </c>
      <c r="C8" s="359" t="s">
        <v>2745</v>
      </c>
      <c r="D8" s="366" t="s">
        <v>2746</v>
      </c>
      <c r="E8" s="366" t="s">
        <v>2747</v>
      </c>
      <c r="F8" s="367" t="s">
        <v>2748</v>
      </c>
      <c r="G8" s="9" t="s"/>
      <c r="H8" s="9" t="s"/>
      <c r="I8" s="9" t="s"/>
      <c r="J8" s="9" t="s"/>
      <c r="K8" s="9" t="s"/>
      <c r="L8" s="9" t="s"/>
      <c r="M8" s="9" t="s"/>
      <c r="N8" s="368" t="s"/>
    </row>
    <row r="9" spans="2:14" ht="31.2">
      <c r="B9" s="358" t="s">
        <v>2749</v>
      </c>
      <c r="C9" s="359" t="s">
        <v>2750</v>
      </c>
      <c r="D9" s="366" t="s">
        <v>2751</v>
      </c>
      <c r="E9" s="366" t="s">
        <v>53</v>
      </c>
      <c r="F9" s="367" t="s">
        <v>2752</v>
      </c>
      <c r="G9" s="9" t="s"/>
      <c r="H9" s="9" t="s"/>
      <c r="I9" s="9" t="s"/>
      <c r="J9" s="9" t="s"/>
      <c r="K9" s="9" t="s"/>
      <c r="L9" s="9" t="s"/>
      <c r="M9" s="9" t="s"/>
      <c r="N9" s="368" t="s"/>
    </row>
    <row r="10" spans="2:14">
      <c r="B10" s="358" t="s">
        <v>1509</v>
      </c>
      <c r="C10" s="359" t="s">
        <v>53</v>
      </c>
      <c r="D10" s="369" t="s">
        <v>2753</v>
      </c>
      <c r="E10" s="370" t="s">
        <v>2754</v>
      </c>
      <c r="F10" s="367" t="s">
        <v>2755</v>
      </c>
      <c r="G10" s="9" t="s"/>
      <c r="H10" s="9" t="s"/>
      <c r="I10" s="9" t="s"/>
      <c r="J10" s="9" t="s"/>
      <c r="K10" s="9" t="s"/>
      <c r="L10" s="9" t="s"/>
      <c r="M10" s="9" t="s"/>
      <c r="N10" s="368" t="s"/>
    </row>
    <row r="11" spans="2:14">
      <c r="B11" s="358" t="s">
        <v>2376</v>
      </c>
      <c r="C11" s="359" t="s">
        <v>53</v>
      </c>
      <c r="D11" s="371" t="s">
        <v>2756</v>
      </c>
      <c r="E11" s="372" t="s">
        <v>2757</v>
      </c>
      <c r="F11" s="367" t="s">
        <v>2758</v>
      </c>
      <c r="G11" s="9" t="s"/>
      <c r="H11" s="9" t="s"/>
      <c r="I11" s="9" t="s"/>
      <c r="J11" s="9" t="s"/>
      <c r="K11" s="9" t="s"/>
      <c r="L11" s="9" t="s"/>
      <c r="M11" s="9" t="s"/>
      <c r="N11" s="368" t="s"/>
    </row>
    <row r="12" spans="2:14" ht="46.8">
      <c r="B12" s="358" t="s">
        <v>2759</v>
      </c>
      <c r="C12" s="359" t="s">
        <v>2760</v>
      </c>
      <c r="D12" s="366" t="s">
        <v>2761</v>
      </c>
      <c r="E12" s="370" t="s">
        <v>2762</v>
      </c>
      <c r="F12" s="367" t="s">
        <v>2763</v>
      </c>
      <c r="G12" s="9" t="s"/>
      <c r="H12" s="9" t="s"/>
      <c r="I12" s="9" t="s"/>
      <c r="J12" s="9" t="s"/>
      <c r="K12" s="9" t="s"/>
      <c r="L12" s="9" t="s"/>
      <c r="M12" s="9" t="s"/>
      <c r="N12" s="368" t="s"/>
    </row>
    <row r="13" spans="2:14" ht="18" customHeight="true">
      <c r="B13" s="358" t="s">
        <v>2764</v>
      </c>
      <c r="C13" s="373" t="s">
        <v>2765</v>
      </c>
      <c r="D13" s="366" t="s">
        <v>2766</v>
      </c>
      <c r="E13" s="369" t="s">
        <v>2767</v>
      </c>
      <c r="F13" s="367" t="s">
        <v>2768</v>
      </c>
      <c r="G13" s="9" t="s"/>
      <c r="H13" s="9" t="s"/>
      <c r="I13" s="9" t="s"/>
      <c r="J13" s="9" t="s"/>
      <c r="K13" s="9" t="s"/>
      <c r="L13" s="9" t="s"/>
      <c r="M13" s="9" t="s"/>
      <c r="N13" s="368" t="s"/>
    </row>
  </sheetData>
  <mergeCells count="14">
    <mergeCell ref="B3:C3"/>
    <mergeCell ref="B2:C2"/>
    <mergeCell ref="C4:D4"/>
    <mergeCell ref="F5:N5"/>
    <mergeCell ref="F6:N6"/>
    <mergeCell ref="F7:N7"/>
    <mergeCell ref="F8:N8"/>
    <mergeCell ref="F9:N9"/>
    <mergeCell ref="F10:N10"/>
    <mergeCell ref="F11:N11"/>
    <mergeCell ref="F12:N12"/>
    <mergeCell ref="F13:N13"/>
    <mergeCell ref="F3:N3"/>
    <mergeCell ref="O3:W3"/>
  </mergeCells>
  <pageMargins left="0.7" right="0.7" top="0.75" bottom="0.75" header="0.3" footer="0.3"/>
  <pageSetup paperSize="9" orientation="portrait"/>
</worksheet>
</file>

<file path=xl/worksheets/sheet4.xml><?xml version="1.0" encoding="utf-8"?>
<worksheet xmlns="http://schemas.openxmlformats.org/spreadsheetml/2006/main">
  <sheetPr codeName="激光行业资讯"/>
  <dimension ref="B84"/>
  <sheetViews>
    <sheetView showGridLines="false" workbookViewId="0"/>
  </sheetViews>
  <sheetFormatPr defaultColWidth="9" defaultRowHeight="13.8"/>
  <cols>
    <col min="1" max="1" width="5" customWidth="true"/>
    <col min="2" max="2" width="107.555" customWidth="true"/>
    <col min="3" max="3" width="103.27" customWidth="true"/>
  </cols>
  <sheetData>
    <row r="2" spans="2:2" ht="15">
      <c r="B2" s="330" t="s">
        <v>2652</v>
      </c>
    </row>
    <row r="3" spans="2:2" ht="16.2">
      <c r="B3" s="331">
        <v>45992</v>
      </c>
    </row>
    <row r="4" spans="2:2" ht="16.2">
      <c r="B4" s="332" t="s">
        <v>2653</v>
      </c>
    </row>
    <row r="5" spans="2:2" ht="43.2" customHeight="true">
      <c r="B5" s="333" t="s">
        <v>2654</v>
      </c>
    </row>
    <row r="6" spans="2:2" ht="16.2">
      <c r="B6" s="332" t="s">
        <v>2655</v>
      </c>
    </row>
    <row r="7" spans="2:2" ht="31.2">
      <c r="B7" s="334" t="s">
        <v>2656</v>
      </c>
    </row>
    <row r="8" spans="2:2" ht="16.2">
      <c r="B8" s="332" t="s">
        <v>2657</v>
      </c>
    </row>
    <row r="9" spans="2:2" ht="62.4">
      <c r="B9" s="334" t="s">
        <v>2658</v>
      </c>
    </row>
    <row r="10" spans="2:2" ht="16.2">
      <c r="B10" s="332" t="s">
        <v>2659</v>
      </c>
    </row>
    <row r="11" spans="2:2" ht="46.8">
      <c r="B11" s="334" t="s">
        <v>2660</v>
      </c>
    </row>
    <row r="12" spans="2:2" ht="16.2">
      <c r="B12" s="332" t="s">
        <v>2661</v>
      </c>
    </row>
    <row r="13" spans="2:2" ht="46.8">
      <c r="B13" s="334" t="s">
        <v>2662</v>
      </c>
    </row>
    <row r="14" spans="2:2" ht="16.2">
      <c r="B14" s="332" t="s">
        <v>2663</v>
      </c>
    </row>
    <row r="15" spans="2:2" ht="31.2">
      <c r="B15" s="334" t="s">
        <v>2664</v>
      </c>
    </row>
    <row r="16" spans="2:2" ht="16.2">
      <c r="B16" s="332" t="s">
        <v>2665</v>
      </c>
    </row>
    <row r="17" spans="2:2" ht="46.8">
      <c r="B17" s="334" t="s">
        <v>2666</v>
      </c>
    </row>
    <row r="18" spans="2:2" ht="16.2">
      <c r="B18" s="332" t="s">
        <v>2667</v>
      </c>
    </row>
    <row r="19" spans="2:2" ht="31.2">
      <c r="B19" s="334" t="s">
        <v>2668</v>
      </c>
    </row>
    <row r="20" spans="2:2" ht="15.6">
      <c r="B20" s="335">
        <v>46023</v>
      </c>
    </row>
    <row r="21" spans="2:2" ht="15.6">
      <c r="B21" s="336" t="s">
        <v>2669</v>
      </c>
    </row>
    <row r="22" spans="2:2" s="384" customFormat="true" ht="30.75" customHeight="true">
      <c r="B22" s="337" t="s">
        <v>2670</v>
      </c>
    </row>
    <row r="23" spans="2:2">
      <c r="B23" s="338" t="s">
        <v>2671</v>
      </c>
    </row>
    <row r="24" spans="2:2">
      <c r="B24" s="339" t="s">
        <v>2672</v>
      </c>
    </row>
    <row r="25" spans="2:2">
      <c r="B25" s="338" t="s">
        <v>2673</v>
      </c>
    </row>
    <row r="26" spans="2:2">
      <c r="B26" s="340" t="s">
        <v>2674</v>
      </c>
    </row>
    <row r="27" spans="2:2">
      <c r="B27" s="341" t="s">
        <v>2675</v>
      </c>
    </row>
    <row r="28" spans="2:2">
      <c r="B28" s="342" t="s">
        <v>2676</v>
      </c>
    </row>
    <row r="29" spans="2:2">
      <c r="B29" s="341" t="s">
        <v>2677</v>
      </c>
    </row>
    <row r="30" spans="2:2">
      <c r="B30" s="342" t="s">
        <v>2678</v>
      </c>
    </row>
    <row r="31" spans="2:2">
      <c r="B31" s="341" t="s">
        <v>2679</v>
      </c>
    </row>
    <row r="32" spans="2:2">
      <c r="B32" s="343" t="s">
        <v>2680</v>
      </c>
    </row>
    <row r="33" spans="2:2">
      <c r="B33" s="341" t="s">
        <v>2681</v>
      </c>
    </row>
    <row r="34" spans="2:2">
      <c r="B34" s="343" t="s">
        <v>2682</v>
      </c>
    </row>
    <row r="35" spans="2:2">
      <c r="B35" s="341" t="s">
        <v>2683</v>
      </c>
    </row>
    <row r="36" spans="2:2">
      <c r="B36" s="343" t="s">
        <v>2684</v>
      </c>
    </row>
    <row r="37" spans="2:2">
      <c r="B37" s="341" t="s">
        <v>2685</v>
      </c>
    </row>
    <row r="38" spans="2:2">
      <c r="B38" s="343" t="s">
        <v>2686</v>
      </c>
    </row>
    <row r="39" spans="2:2">
      <c r="B39" s="341" t="s">
        <v>2687</v>
      </c>
    </row>
    <row r="40" spans="2:2">
      <c r="B40" s="343" t="s">
        <v>2688</v>
      </c>
    </row>
    <row r="41" spans="2:2">
      <c r="B41" s="344" t="s">
        <v>2689</v>
      </c>
    </row>
    <row r="42" spans="2:2">
      <c r="B42" s="343" t="s">
        <v>2690</v>
      </c>
    </row>
    <row r="43" spans="2:2">
      <c r="B43" s="341" t="s">
        <v>2691</v>
      </c>
    </row>
    <row r="44" spans="2:2">
      <c r="B44" s="343" t="s">
        <v>2692</v>
      </c>
    </row>
    <row r="45" spans="2:2">
      <c r="B45" s="341" t="s">
        <v>2693</v>
      </c>
    </row>
    <row r="46" spans="2:2">
      <c r="B46" s="343" t="s">
        <v>2694</v>
      </c>
    </row>
    <row r="47" spans="2:2">
      <c r="B47" s="345">
        <v>46054</v>
      </c>
    </row>
    <row r="48" spans="2:2">
      <c r="B48" s="338" t="s">
        <v>2695</v>
      </c>
    </row>
    <row r="49" spans="2:2">
      <c r="B49" s="343" t="s">
        <v>2696</v>
      </c>
    </row>
    <row r="50" spans="2:2">
      <c r="B50" s="338" t="s">
        <v>2697</v>
      </c>
    </row>
    <row r="51" spans="2:2">
      <c r="B51" s="343" t="s">
        <v>2698</v>
      </c>
    </row>
    <row r="52" spans="2:2">
      <c r="B52" s="338" t="s">
        <v>2699</v>
      </c>
    </row>
    <row r="53" spans="2:2">
      <c r="B53" s="343" t="s">
        <v>2700</v>
      </c>
    </row>
    <row r="54" spans="2:2">
      <c r="B54" s="338" t="s">
        <v>2701</v>
      </c>
    </row>
    <row r="55" spans="2:2">
      <c r="B55" s="343" t="s">
        <v>2702</v>
      </c>
    </row>
    <row r="56" spans="2:2">
      <c r="B56" s="338" t="s">
        <v>2703</v>
      </c>
    </row>
    <row r="57" spans="2:2">
      <c r="B57" s="343" t="s">
        <v>2704</v>
      </c>
    </row>
    <row r="58" spans="2:2">
      <c r="B58" s="338" t="s">
        <v>2705</v>
      </c>
    </row>
    <row r="59" spans="2:2">
      <c r="B59" s="343" t="s">
        <v>2706</v>
      </c>
    </row>
    <row r="60" spans="2:2">
      <c r="B60" s="345">
        <v>46082</v>
      </c>
    </row>
    <row r="61" spans="2:2">
      <c r="B61" s="338" t="s">
        <v>2707</v>
      </c>
    </row>
    <row r="62" spans="2:2">
      <c r="B62" s="346" t="s">
        <v>2708</v>
      </c>
    </row>
    <row r="63" spans="2:2">
      <c r="B63" s="347" t="s">
        <v>2709</v>
      </c>
    </row>
    <row r="64" spans="2:2">
      <c r="B64" s="346" t="s">
        <v>2710</v>
      </c>
    </row>
    <row r="65" spans="2:2">
      <c r="B65" s="348" t="s">
        <v>2711</v>
      </c>
    </row>
    <row r="66" spans="2:2">
      <c r="B66" s="346" t="s">
        <v>2712</v>
      </c>
    </row>
    <row r="67" spans="2:2">
      <c r="B67" s="348" t="s">
        <v>2713</v>
      </c>
    </row>
    <row r="68" spans="2:2">
      <c r="B68" s="346" t="s">
        <v>2714</v>
      </c>
    </row>
    <row r="69" spans="2:2">
      <c r="B69" s="348" t="s">
        <v>2715</v>
      </c>
    </row>
    <row r="70" spans="2:2">
      <c r="B70" s="346" t="s">
        <v>2716</v>
      </c>
    </row>
    <row r="71" spans="2:2">
      <c r="B71" s="348" t="s">
        <v>2717</v>
      </c>
    </row>
    <row r="72" spans="2:2">
      <c r="B72" s="346" t="s">
        <v>2718</v>
      </c>
    </row>
    <row r="73" spans="2:2">
      <c r="B73" s="348" t="s">
        <v>2719</v>
      </c>
    </row>
    <row r="74" spans="2:2">
      <c r="B74" s="346" t="s">
        <v>2720</v>
      </c>
    </row>
    <row r="75" spans="2:2">
      <c r="B75" s="348" t="s">
        <v>2721</v>
      </c>
    </row>
    <row r="76" spans="2:2">
      <c r="B76" s="346" t="s">
        <v>2722</v>
      </c>
    </row>
    <row r="77" spans="2:2">
      <c r="B77" s="348" t="s">
        <v>2723</v>
      </c>
    </row>
    <row r="78" spans="2:2">
      <c r="B78" s="346" t="s">
        <v>2724</v>
      </c>
    </row>
    <row r="79" spans="2:2">
      <c r="B79" s="348" t="s">
        <v>2725</v>
      </c>
    </row>
    <row r="80" spans="2:2">
      <c r="B80" s="346" t="s">
        <v>2726</v>
      </c>
    </row>
    <row r="81" spans="2:2">
      <c r="B81" s="348" t="s">
        <v>2727</v>
      </c>
    </row>
    <row r="82" spans="2:2">
      <c r="B82" s="346" t="s">
        <v>2728</v>
      </c>
    </row>
    <row r="83" spans="2:2">
      <c r="B83" s="349" t="s">
        <v>2729</v>
      </c>
    </row>
    <row r="84" spans="2:2">
      <c r="B84" s="346" t="s">
        <v>2730</v>
      </c>
    </row>
  </sheetData>
  <pageMargins left="0.7" right="0.7" top="0.75" bottom="0.75" header="0.3" footer="0.3"/>
</worksheet>
</file>

<file path=xl/worksheets/sheet5.xml><?xml version="1.0" encoding="utf-8"?>
<worksheet xmlns="http://schemas.openxmlformats.org/spreadsheetml/2006/main">
  <sheetPr codeName="激光切割机&amp;折弯机上市公司情况"/>
  <dimension ref="Z338"/>
  <sheetViews>
    <sheetView showGridLines="false" workbookViewId="0"/>
  </sheetViews>
  <sheetFormatPr baseColWidth="8" defaultRowHeight="17.4"/>
  <cols>
    <col min="1" max="1" width="12.6016" style="381" customWidth="true"/>
    <col min="2" max="2" width="10.9922" style="381" customWidth="true"/>
    <col min="3" max="3" width="19.9805" style="381" customWidth="true"/>
    <col min="4" max="4" width="102.781" style="381" customWidth="true"/>
    <col min="5" max="5" width="18.8906" style="381" customWidth="true"/>
    <col min="6" max="6" width="12.8828" style="382" customWidth="true"/>
    <col min="7" max="7" width="19.3828" style="382" customWidth="true"/>
    <col min="8" max="8" width="39.6094" style="382" customWidth="true"/>
    <col min="9" max="9" width="30.4102" style="382" customWidth="true"/>
    <col min="10" max="10" width="17.9023" style="382" customWidth="true"/>
    <col min="11" max="11" width="19.1328" style="382" customWidth="true"/>
    <col min="12" max="12" width="13.2031" style="382" customWidth="true"/>
    <col min="13" max="13" width="12.2031" style="382" customWidth="true"/>
    <col min="14" max="26" width="8.88672" style="382"/>
  </cols>
  <sheetData>
    <row r="1" spans="1:14" ht="31.5" customHeight="true">
      <c r="A1" s="200" t="s">
        <v>2311</v>
      </c>
      <c r="B1" s="201" t="s">
        <v>2525</v>
      </c>
      <c r="C1" s="201" t="s">
        <v>2526</v>
      </c>
      <c r="D1" s="201" t="s">
        <v>2527</v>
      </c>
      <c r="E1" s="202" t="s">
        <v>2528</v>
      </c>
      <c r="F1" s="203" t="s">
        <v>2529</v>
      </c>
      <c r="G1" s="204" t="s">
        <v>2302</v>
      </c>
      <c r="H1" s="204" t="s">
        <v>2530</v>
      </c>
      <c r="I1" s="204" t="s">
        <v>2531</v>
      </c>
      <c r="J1" s="204" t="s">
        <v>2532</v>
      </c>
      <c r="K1" s="204" t="s">
        <v>2533</v>
      </c>
      <c r="L1" s="204" t="s">
        <v>2534</v>
      </c>
      <c r="M1" s="204" t="s">
        <v>2535</v>
      </c>
      <c r="N1" s="205" t="s"/>
    </row>
    <row r="2" spans="1:14" ht="394.5" customHeight="true">
      <c r="A2" s="206" t="s">
        <v>2536</v>
      </c>
      <c r="B2" s="207" t="s">
        <v>2537</v>
      </c>
      <c r="C2" s="206" t="s">
        <v>2538</v>
      </c>
      <c r="D2" s="208" t="s">
        <v>2954</v>
      </c>
      <c r="E2" s="209" t="s">
        <v>2539</v>
      </c>
      <c r="F2" s="210">
        <v>0.097</v>
      </c>
      <c r="G2" s="211" t="s">
        <v>2540</v>
      </c>
      <c r="H2" s="212" t="s">
        <v>2541</v>
      </c>
      <c r="I2" s="212" t="s">
        <v>2542</v>
      </c>
      <c r="J2" s="211" t="s">
        <v>2543</v>
      </c>
      <c r="K2" s="213" t="s">
        <v>2544</v>
      </c>
      <c r="L2" s="213" t="s">
        <v>2545</v>
      </c>
      <c r="M2" s="214" t="s">
        <v>2546</v>
      </c>
      <c r="N2" s="205" t="s"/>
    </row>
    <row r="3" spans="1:14" ht="209.25" customHeight="true">
      <c r="A3" s="215" t="s">
        <v>2547</v>
      </c>
      <c r="B3" s="216" t="s">
        <v>2548</v>
      </c>
      <c r="C3" s="216" t="s">
        <v>2549</v>
      </c>
      <c r="D3" s="217" t="s">
        <v>2955</v>
      </c>
      <c r="E3" s="218" t="s">
        <v>2539</v>
      </c>
      <c r="F3" s="210">
        <v>0.081</v>
      </c>
      <c r="G3" s="214" t="s">
        <v>2550</v>
      </c>
      <c r="H3" s="219" t="s">
        <v>2551</v>
      </c>
      <c r="I3" s="219" t="s">
        <v>2552</v>
      </c>
      <c r="J3" s="214" t="s">
        <v>2553</v>
      </c>
      <c r="K3" s="214" t="s">
        <v>2554</v>
      </c>
      <c r="L3" s="213" t="s">
        <v>2555</v>
      </c>
      <c r="M3" s="214" t="s">
        <v>2556</v>
      </c>
      <c r="N3" s="220" t="s"/>
    </row>
    <row r="4" spans="1:14" ht="339.75" customHeight="true">
      <c r="A4" s="215" t="s">
        <v>2557</v>
      </c>
      <c r="B4" s="221" t="s">
        <v>26</v>
      </c>
      <c r="C4" s="216" t="s">
        <v>2538</v>
      </c>
      <c r="D4" s="217" t="s">
        <v>2956</v>
      </c>
      <c r="E4" s="218" t="s">
        <v>2558</v>
      </c>
      <c r="F4" s="210">
        <v>0.042</v>
      </c>
      <c r="G4" s="214" t="s">
        <v>2559</v>
      </c>
      <c r="H4" s="212" t="s">
        <v>2560</v>
      </c>
      <c r="I4" s="212" t="s">
        <v>2561</v>
      </c>
      <c r="J4" s="214" t="s">
        <v>2562</v>
      </c>
      <c r="K4" s="214" t="s">
        <v>2563</v>
      </c>
      <c r="L4" s="222" t="s">
        <v>2564</v>
      </c>
      <c r="M4" s="222" t="s">
        <v>2564</v>
      </c>
      <c r="N4" s="205" t="s"/>
    </row>
    <row r="5" spans="1:14" ht="198.75" customHeight="true">
      <c r="A5" s="215" t="s">
        <v>2564</v>
      </c>
      <c r="B5" s="216" t="s">
        <v>2565</v>
      </c>
      <c r="C5" s="216" t="s">
        <v>2549</v>
      </c>
      <c r="D5" s="223" t="s">
        <v>2957</v>
      </c>
      <c r="E5" s="218" t="s">
        <v>2566</v>
      </c>
      <c r="F5" s="210">
        <v>0.046</v>
      </c>
      <c r="G5" s="214" t="s">
        <v>2567</v>
      </c>
      <c r="H5" s="220" t="s">
        <v>288</v>
      </c>
      <c r="I5" s="219" t="s">
        <v>2568</v>
      </c>
      <c r="J5" s="214" t="s">
        <v>2569</v>
      </c>
      <c r="K5" s="220" t="s">
        <v>2570</v>
      </c>
      <c r="L5" s="220" t="s">
        <v>2564</v>
      </c>
      <c r="M5" s="220" t="s">
        <v>2564</v>
      </c>
      <c r="N5" s="205" t="s"/>
    </row>
    <row r="6" spans="1:14" ht="362.25" customHeight="true">
      <c r="A6" s="215" t="s">
        <v>2571</v>
      </c>
      <c r="B6" s="216" t="s">
        <v>2572</v>
      </c>
      <c r="C6" s="216" t="s">
        <v>2538</v>
      </c>
      <c r="D6" s="217" t="s">
        <v>2958</v>
      </c>
      <c r="E6" s="218" t="s">
        <v>2959</v>
      </c>
      <c r="F6" s="222">
        <v>0.007</v>
      </c>
      <c r="G6" s="214" t="s">
        <v>2573</v>
      </c>
      <c r="H6" s="219" t="s">
        <v>2574</v>
      </c>
      <c r="I6" s="219" t="s">
        <v>2575</v>
      </c>
      <c r="J6" s="214" t="s">
        <v>2576</v>
      </c>
      <c r="K6" s="214" t="s">
        <v>2577</v>
      </c>
      <c r="L6" s="224" t="s">
        <v>2546</v>
      </c>
      <c r="M6" s="224" t="s">
        <v>2578</v>
      </c>
      <c r="N6" s="205" t="s"/>
    </row>
    <row r="7" spans="1:14" ht="16.8" customHeight="true">
      <c r="A7" s="215" t="s"/>
      <c r="B7" s="216" t="s"/>
      <c r="C7" s="216" t="s"/>
      <c r="D7" s="217" t="s"/>
      <c r="E7" s="218" t="s"/>
      <c r="F7" s="225" t="s"/>
      <c r="G7" s="220" t="s"/>
      <c r="H7" s="220" t="s"/>
      <c r="I7" s="220" t="s"/>
      <c r="J7" s="220" t="s"/>
      <c r="K7" s="222" t="s"/>
      <c r="L7" s="222" t="s"/>
      <c r="M7" s="222" t="s"/>
      <c r="N7" s="205" t="s"/>
    </row>
    <row r="8" spans="1:14" ht="16.8" customHeight="true">
      <c r="A8" s="215" t="s"/>
      <c r="B8" s="216" t="s"/>
      <c r="C8" s="216" t="s"/>
      <c r="D8" s="217" t="s"/>
      <c r="E8" s="218" t="s"/>
      <c r="F8" s="225" t="s"/>
      <c r="G8" s="220" t="s"/>
      <c r="H8" s="220" t="s"/>
      <c r="I8" s="220" t="s"/>
      <c r="J8" s="220" t="s"/>
      <c r="K8" s="222" t="s"/>
      <c r="L8" s="222" t="s"/>
      <c r="M8" s="222" t="s"/>
      <c r="N8" s="205" t="s"/>
    </row>
    <row r="9" spans="1:14" ht="16.8" customHeight="true">
      <c r="A9" s="215" t="s"/>
      <c r="B9" s="216" t="s"/>
      <c r="C9" s="216" t="s"/>
      <c r="D9" s="217" t="s"/>
      <c r="E9" s="218" t="s"/>
      <c r="F9" s="225" t="s"/>
      <c r="G9" s="220" t="s"/>
      <c r="H9" s="220" t="s"/>
      <c r="I9" s="220" t="s"/>
      <c r="J9" s="220" t="s"/>
      <c r="K9" s="222" t="s"/>
      <c r="L9" s="222" t="s"/>
      <c r="M9" s="222" t="s"/>
      <c r="N9" s="205" t="s"/>
    </row>
    <row r="10" spans="1:14" ht="16.8" customHeight="true">
      <c r="A10" s="215" t="s"/>
      <c r="B10" s="216" t="s"/>
      <c r="C10" s="216" t="s"/>
      <c r="D10" s="217" t="s"/>
      <c r="E10" s="218" t="s"/>
      <c r="F10" s="225" t="s"/>
      <c r="G10" s="220" t="s"/>
      <c r="H10" s="220" t="s"/>
      <c r="I10" s="220" t="s"/>
      <c r="J10" s="220" t="s"/>
      <c r="K10" s="222" t="s"/>
      <c r="L10" s="222" t="s"/>
      <c r="M10" s="222" t="s"/>
      <c r="N10" s="205" t="s"/>
    </row>
    <row r="11" spans="1:14" ht="16.8" customHeight="true">
      <c r="A11" s="215" t="s"/>
      <c r="B11" s="216" t="s"/>
      <c r="C11" s="216" t="s"/>
      <c r="D11" s="217" t="s"/>
      <c r="E11" s="218" t="s"/>
      <c r="F11" s="225" t="s"/>
      <c r="G11" s="220" t="s"/>
      <c r="H11" s="220" t="s"/>
      <c r="I11" s="220" t="s"/>
      <c r="J11" s="220" t="s"/>
      <c r="K11" s="222" t="s"/>
      <c r="L11" s="222" t="s"/>
      <c r="M11" s="226" t="s"/>
      <c r="N11" s="205" t="s"/>
    </row>
    <row r="12" spans="1:14" ht="16.8" customHeight="true">
      <c r="A12" s="215" t="s"/>
      <c r="B12" s="216" t="s"/>
      <c r="C12" s="216" t="s"/>
      <c r="D12" s="217" t="s"/>
      <c r="E12" s="218" t="s"/>
      <c r="F12" s="225" t="s"/>
      <c r="G12" s="220" t="s"/>
      <c r="H12" s="220" t="s"/>
      <c r="I12" s="220" t="s"/>
      <c r="J12" s="220" t="s"/>
      <c r="K12" s="222" t="s"/>
      <c r="L12" s="222" t="s"/>
      <c r="M12" s="226" t="s"/>
      <c r="N12" s="205" t="s"/>
    </row>
    <row r="13" spans="1:14" ht="16.8" customHeight="true">
      <c r="A13" s="215" t="s"/>
      <c r="B13" s="216" t="s"/>
      <c r="C13" s="216" t="s"/>
      <c r="D13" s="227" t="s"/>
      <c r="E13" s="218" t="s"/>
      <c r="F13" s="210" t="s"/>
      <c r="G13" s="220" t="s"/>
      <c r="H13" s="220" t="s"/>
      <c r="I13" s="220" t="s"/>
      <c r="J13" s="220" t="s"/>
      <c r="K13" s="220" t="s"/>
      <c r="L13" s="220" t="s"/>
      <c r="M13" s="220" t="s"/>
      <c r="N13" s="205" t="s"/>
    </row>
    <row r="14" spans="1:14" ht="16.8" customHeight="true">
      <c r="A14" s="215" t="s"/>
      <c r="B14" s="216" t="s"/>
      <c r="C14" s="216" t="s"/>
      <c r="D14" s="227" t="s"/>
      <c r="E14" s="218" t="s"/>
      <c r="F14" s="210" t="s"/>
      <c r="G14" s="220" t="s"/>
      <c r="H14" s="220" t="s"/>
      <c r="I14" s="220" t="s"/>
      <c r="J14" s="220" t="s"/>
      <c r="K14" s="220" t="s"/>
      <c r="L14" s="220" t="s"/>
      <c r="M14" s="220" t="s"/>
      <c r="N14" s="205" t="s"/>
    </row>
    <row r="15" spans="1:14" ht="16.8" customHeight="true">
      <c r="A15" s="215" t="s"/>
      <c r="B15" s="216" t="s"/>
      <c r="C15" s="216" t="s"/>
      <c r="D15" s="227" t="s"/>
      <c r="E15" s="218" t="s"/>
      <c r="F15" s="210" t="s"/>
      <c r="G15" s="220" t="s"/>
      <c r="H15" s="220" t="s"/>
      <c r="I15" s="220" t="s"/>
      <c r="J15" s="220" t="s"/>
      <c r="K15" s="220" t="s"/>
      <c r="L15" s="220" t="s"/>
      <c r="M15" s="220" t="s"/>
      <c r="N15" s="205" t="s"/>
    </row>
    <row r="16" spans="1:14" ht="16.8" customHeight="true">
      <c r="A16" s="215" t="s"/>
      <c r="B16" s="216" t="s"/>
      <c r="C16" s="216" t="s"/>
      <c r="D16" s="227" t="s"/>
      <c r="E16" s="218" t="s"/>
      <c r="F16" s="210" t="s"/>
      <c r="G16" s="220" t="s"/>
      <c r="H16" s="220" t="s"/>
      <c r="I16" s="220" t="s"/>
      <c r="J16" s="220" t="s"/>
      <c r="K16" s="220" t="s"/>
      <c r="L16" s="220" t="s"/>
      <c r="M16" s="220" t="s"/>
      <c r="N16" s="205" t="s"/>
    </row>
    <row r="17" spans="1:14" ht="16.8" customHeight="true">
      <c r="A17" s="215" t="s"/>
      <c r="B17" s="216" t="s"/>
      <c r="C17" s="216" t="s"/>
      <c r="D17" s="227" t="s"/>
      <c r="E17" s="218" t="s"/>
      <c r="F17" s="210" t="s"/>
      <c r="G17" s="220" t="s"/>
      <c r="H17" s="220" t="s"/>
      <c r="I17" s="220" t="s"/>
      <c r="J17" s="220" t="s"/>
      <c r="K17" s="220" t="s"/>
      <c r="L17" s="220" t="s"/>
      <c r="M17" s="220" t="s"/>
      <c r="N17" s="205" t="s"/>
    </row>
    <row r="18" spans="1:14" ht="16.8" customHeight="true">
      <c r="A18" s="215" t="s"/>
      <c r="B18" s="216" t="s"/>
      <c r="C18" s="216" t="s"/>
      <c r="D18" s="227" t="s"/>
      <c r="E18" s="218" t="s"/>
      <c r="F18" s="210" t="s"/>
      <c r="G18" s="220" t="s"/>
      <c r="H18" s="220" t="s"/>
      <c r="I18" s="220" t="s"/>
      <c r="J18" s="220" t="s"/>
      <c r="K18" s="220" t="s"/>
      <c r="L18" s="220" t="s"/>
      <c r="M18" s="220" t="s"/>
      <c r="N18" s="205" t="s"/>
    </row>
    <row r="19" spans="1:14" ht="16.8" customHeight="true">
      <c r="A19" s="215" t="s"/>
      <c r="B19" s="216" t="s"/>
      <c r="C19" s="216" t="s"/>
      <c r="D19" s="227" t="s"/>
      <c r="E19" s="218" t="s"/>
      <c r="F19" s="210" t="s"/>
      <c r="G19" s="220" t="s"/>
      <c r="H19" s="220" t="s"/>
      <c r="I19" s="220" t="s"/>
      <c r="J19" s="220" t="s"/>
      <c r="K19" s="220" t="s"/>
      <c r="L19" s="220" t="s"/>
      <c r="M19" s="220" t="s"/>
      <c r="N19" s="205" t="s"/>
    </row>
    <row r="20" spans="1:14" ht="16.8" customHeight="true">
      <c r="A20" s="215" t="s"/>
      <c r="B20" s="216" t="s"/>
      <c r="C20" s="216" t="s"/>
      <c r="D20" s="227" t="s"/>
      <c r="E20" s="218" t="s"/>
      <c r="F20" s="210" t="s"/>
      <c r="G20" s="220" t="s"/>
      <c r="H20" s="220" t="s"/>
      <c r="I20" s="220" t="s"/>
      <c r="J20" s="220" t="s"/>
      <c r="K20" s="220" t="s"/>
      <c r="L20" s="220" t="s"/>
      <c r="M20" s="220" t="s"/>
      <c r="N20" s="205" t="s"/>
    </row>
    <row r="21" spans="1:14" ht="16.8" customHeight="true">
      <c r="A21" s="215" t="s"/>
      <c r="B21" s="216" t="s"/>
      <c r="C21" s="216" t="s"/>
      <c r="D21" s="227" t="s"/>
      <c r="E21" s="218" t="s"/>
      <c r="F21" s="210" t="s"/>
      <c r="G21" s="220" t="s"/>
      <c r="H21" s="220" t="s"/>
      <c r="I21" s="220" t="s"/>
      <c r="J21" s="220" t="s"/>
      <c r="K21" s="220" t="s"/>
      <c r="L21" s="220" t="s"/>
      <c r="M21" s="220" t="s"/>
      <c r="N21" s="205" t="s"/>
    </row>
    <row r="22" spans="1:5" ht="16.8" customHeight="true">
      <c r="A22" s="228" t="s"/>
      <c r="B22" s="30" t="s"/>
      <c r="C22" s="30" t="s"/>
      <c r="D22" s="30" t="s"/>
      <c r="E22" s="31" t="s"/>
    </row>
    <row r="23" spans="1:5" ht="16.8" customHeight="true">
      <c r="A23" s="228" t="s"/>
      <c r="B23" s="30" t="s"/>
      <c r="C23" s="30" t="s"/>
      <c r="D23" s="30" t="s"/>
      <c r="E23" s="31" t="s"/>
    </row>
    <row r="24" spans="1:5" ht="16.8" customHeight="true">
      <c r="A24" s="228" t="s"/>
      <c r="B24" s="30" t="s"/>
      <c r="C24" s="30" t="s"/>
      <c r="D24" s="30" t="s"/>
      <c r="E24" s="31" t="s"/>
    </row>
    <row r="25" spans="1:5" ht="16.8" customHeight="true">
      <c r="A25" s="228" t="s"/>
      <c r="B25" s="30" t="s"/>
      <c r="C25" s="30" t="s"/>
      <c r="D25" s="30" t="s"/>
      <c r="E25" s="31" t="s"/>
    </row>
    <row r="26" spans="1:5" ht="16.8" customHeight="true">
      <c r="A26" s="228" t="s"/>
      <c r="B26" s="30" t="s"/>
      <c r="C26" s="30" t="s"/>
      <c r="D26" s="30" t="s"/>
      <c r="E26" s="31" t="s"/>
    </row>
    <row r="27" spans="1:5" ht="16.8" customHeight="true">
      <c r="A27" s="228" t="s"/>
      <c r="B27" s="30" t="s"/>
      <c r="C27" s="30" t="s"/>
      <c r="D27" s="30" t="s"/>
      <c r="E27" s="31" t="s"/>
    </row>
    <row r="28" spans="1:5" ht="16.8" customHeight="true">
      <c r="A28" s="228" t="s"/>
      <c r="B28" s="30" t="s"/>
      <c r="C28" s="30" t="s"/>
      <c r="D28" s="30" t="s"/>
      <c r="E28" s="31" t="s"/>
    </row>
    <row r="29" spans="1:5" ht="16.8" customHeight="true">
      <c r="A29" s="228" t="s"/>
      <c r="B29" s="30" t="s"/>
      <c r="C29" s="30" t="s"/>
      <c r="D29" s="30" t="s"/>
      <c r="E29" s="31" t="s"/>
    </row>
    <row r="30" spans="1:5" ht="16.8" customHeight="true">
      <c r="A30" s="228" t="s"/>
      <c r="B30" s="30" t="s"/>
      <c r="C30" s="30" t="s"/>
      <c r="D30" s="30" t="s"/>
      <c r="E30" s="31" t="s"/>
    </row>
    <row r="31" spans="1:5" ht="16.8" customHeight="true">
      <c r="A31" s="228" t="s"/>
      <c r="B31" s="30" t="s"/>
      <c r="C31" s="30" t="s"/>
      <c r="D31" s="30" t="s"/>
      <c r="E31" s="31" t="s"/>
    </row>
    <row r="32" spans="1:5" ht="16.8" customHeight="true">
      <c r="A32" s="228" t="s"/>
      <c r="B32" s="30" t="s"/>
      <c r="C32" s="30" t="s"/>
      <c r="D32" s="30" t="s"/>
      <c r="E32" s="31" t="s"/>
    </row>
    <row r="33" spans="1:5" ht="16.8" customHeight="true">
      <c r="A33" s="228" t="s"/>
      <c r="B33" s="30" t="s"/>
      <c r="C33" s="30" t="s"/>
      <c r="D33" s="30" t="s"/>
      <c r="E33" s="31" t="s"/>
    </row>
    <row r="34" spans="1:5" ht="16.8" customHeight="true">
      <c r="A34" s="228" t="s"/>
      <c r="B34" s="30" t="s"/>
      <c r="C34" s="30" t="s"/>
      <c r="D34" s="30" t="s"/>
      <c r="E34" s="31" t="s"/>
    </row>
    <row r="35" spans="1:5" ht="16.8" customHeight="true">
      <c r="A35" s="228" t="s"/>
      <c r="B35" s="30" t="s"/>
      <c r="C35" s="30" t="s"/>
      <c r="D35" s="30" t="s"/>
      <c r="E35" s="31" t="s"/>
    </row>
    <row r="36" spans="1:5" ht="16.8" customHeight="true">
      <c r="A36" s="228" t="s"/>
      <c r="B36" s="30" t="s"/>
      <c r="C36" s="30" t="s"/>
      <c r="D36" s="30" t="s"/>
      <c r="E36" s="31" t="s"/>
    </row>
    <row r="37" spans="1:5" ht="16.8" customHeight="true">
      <c r="A37" s="228" t="s"/>
      <c r="B37" s="30" t="s"/>
      <c r="C37" s="30" t="s"/>
      <c r="D37" s="30" t="s"/>
      <c r="E37" s="31" t="s"/>
    </row>
    <row r="38" spans="1:5" ht="16.8" customHeight="true">
      <c r="A38" s="228" t="s"/>
      <c r="B38" s="30" t="s"/>
      <c r="C38" s="30" t="s"/>
      <c r="D38" s="30" t="s"/>
      <c r="E38" s="31" t="s"/>
    </row>
    <row r="39" spans="1:5" ht="16.8" customHeight="true">
      <c r="A39" s="228" t="s"/>
      <c r="B39" s="30" t="s"/>
      <c r="C39" s="30" t="s"/>
      <c r="D39" s="30" t="s"/>
      <c r="E39" s="31" t="s"/>
    </row>
    <row r="40" spans="1:5" ht="16.8" customHeight="true">
      <c r="A40" s="228" t="s"/>
      <c r="B40" s="30" t="s"/>
      <c r="C40" s="30" t="s"/>
      <c r="D40" s="30" t="s"/>
      <c r="E40" s="31" t="s"/>
    </row>
    <row r="41" spans="1:5" ht="16.8" customHeight="true">
      <c r="A41" s="228" t="s"/>
      <c r="B41" s="30" t="s"/>
      <c r="C41" s="30" t="s"/>
      <c r="D41" s="30" t="s"/>
      <c r="E41" s="31" t="s"/>
    </row>
    <row r="42" spans="1:5" ht="16.8" customHeight="true">
      <c r="A42" s="228" t="s"/>
      <c r="B42" s="30" t="s"/>
      <c r="C42" s="30" t="s"/>
      <c r="D42" s="30" t="s"/>
      <c r="E42" s="31" t="s"/>
    </row>
    <row r="43" spans="1:5" ht="16.8" customHeight="true">
      <c r="A43" s="228" t="s"/>
      <c r="B43" s="30" t="s"/>
      <c r="C43" s="30" t="s"/>
      <c r="D43" s="30" t="s"/>
      <c r="E43" s="31" t="s"/>
    </row>
    <row r="44" spans="1:5" ht="16.8" customHeight="true">
      <c r="A44" s="228" t="s"/>
      <c r="B44" s="30" t="s"/>
      <c r="C44" s="30" t="s"/>
      <c r="D44" s="30" t="s"/>
      <c r="E44" s="31" t="s"/>
    </row>
    <row r="45" spans="1:5" ht="16.8" customHeight="true">
      <c r="A45" s="228" t="s"/>
      <c r="B45" s="30" t="s"/>
      <c r="C45" s="30" t="s"/>
      <c r="D45" s="30" t="s"/>
      <c r="E45" s="31" t="s"/>
    </row>
    <row r="46" spans="1:5" ht="16.8" customHeight="true">
      <c r="A46" s="228" t="s"/>
      <c r="B46" s="30" t="s"/>
      <c r="C46" s="30" t="s"/>
      <c r="D46" s="30" t="s"/>
      <c r="E46" s="31" t="s"/>
    </row>
    <row r="47" spans="1:5" ht="16.8" customHeight="true">
      <c r="A47" s="228" t="s"/>
      <c r="B47" s="30" t="s"/>
      <c r="C47" s="30" t="s"/>
      <c r="D47" s="30" t="s"/>
      <c r="E47" s="31" t="s"/>
    </row>
    <row r="48" spans="1:5" ht="16.8" customHeight="true">
      <c r="A48" s="228" t="s"/>
      <c r="B48" s="30" t="s"/>
      <c r="C48" s="30" t="s"/>
      <c r="D48" s="30" t="s"/>
      <c r="E48" s="31" t="s"/>
    </row>
    <row r="49" spans="1:5" ht="16.8" customHeight="true">
      <c r="A49" s="228" t="s"/>
      <c r="B49" s="30" t="s"/>
      <c r="C49" s="30" t="s"/>
      <c r="D49" s="30" t="s"/>
      <c r="E49" s="31" t="s"/>
    </row>
    <row r="50" spans="1:5" ht="16.8" customHeight="true">
      <c r="A50" s="228" t="s"/>
      <c r="B50" s="30" t="s"/>
      <c r="C50" s="30" t="s"/>
      <c r="D50" s="30" t="s"/>
      <c r="E50" s="31" t="s"/>
    </row>
    <row r="51" spans="1:5" ht="16.8" customHeight="true">
      <c r="A51" s="228" t="s"/>
      <c r="B51" s="30" t="s"/>
      <c r="C51" s="30" t="s"/>
      <c r="D51" s="30" t="s"/>
      <c r="E51" s="31" t="s"/>
    </row>
    <row r="52" spans="1:5" ht="16.8" customHeight="true">
      <c r="A52" s="228" t="s"/>
      <c r="B52" s="30" t="s"/>
      <c r="C52" s="30" t="s"/>
      <c r="D52" s="30" t="s"/>
      <c r="E52" s="31" t="s"/>
    </row>
    <row r="53" spans="1:5" ht="16.8" customHeight="true">
      <c r="A53" s="228" t="s"/>
      <c r="B53" s="30" t="s"/>
      <c r="C53" s="30" t="s"/>
      <c r="D53" s="30" t="s"/>
      <c r="E53" s="31" t="s"/>
    </row>
    <row r="54" spans="1:5" ht="16.8" customHeight="true">
      <c r="A54" s="228" t="s"/>
      <c r="B54" s="30" t="s"/>
      <c r="C54" s="30" t="s"/>
      <c r="D54" s="30" t="s"/>
      <c r="E54" s="31" t="s"/>
    </row>
    <row r="55" spans="1:5" ht="16.8" customHeight="true">
      <c r="A55" s="228" t="s"/>
      <c r="B55" s="30" t="s"/>
      <c r="C55" s="30" t="s"/>
      <c r="D55" s="30" t="s"/>
      <c r="E55" s="31" t="s"/>
    </row>
    <row r="56" spans="1:5" ht="16.8" customHeight="true">
      <c r="A56" s="228" t="s"/>
      <c r="B56" s="30" t="s"/>
      <c r="C56" s="30" t="s"/>
      <c r="D56" s="30" t="s"/>
      <c r="E56" s="31" t="s"/>
    </row>
    <row r="57" spans="1:5" ht="16.8" customHeight="true">
      <c r="A57" s="228" t="s"/>
      <c r="B57" s="30" t="s"/>
      <c r="C57" s="30" t="s"/>
      <c r="D57" s="30" t="s"/>
      <c r="E57" s="31" t="s"/>
    </row>
    <row r="58" spans="1:5" ht="16.8" customHeight="true">
      <c r="A58" s="228" t="s"/>
      <c r="B58" s="30" t="s"/>
      <c r="C58" s="30" t="s"/>
      <c r="D58" s="30" t="s"/>
      <c r="E58" s="31" t="s"/>
    </row>
    <row r="59" spans="1:5" ht="16.8" customHeight="true">
      <c r="A59" s="228" t="s"/>
      <c r="B59" s="30" t="s"/>
      <c r="C59" s="30" t="s"/>
      <c r="D59" s="30" t="s"/>
      <c r="E59" s="31" t="s"/>
    </row>
    <row r="60" spans="1:5" ht="16.8" customHeight="true">
      <c r="A60" s="228" t="s"/>
      <c r="B60" s="30" t="s"/>
      <c r="C60" s="30" t="s"/>
      <c r="D60" s="30" t="s"/>
      <c r="E60" s="31" t="s"/>
    </row>
    <row r="61" spans="1:5" ht="16.8" customHeight="true">
      <c r="A61" s="228" t="s"/>
      <c r="B61" s="30" t="s"/>
      <c r="C61" s="30" t="s"/>
      <c r="D61" s="30" t="s"/>
      <c r="E61" s="31" t="s"/>
    </row>
    <row r="62" spans="1:5" ht="16.8" customHeight="true">
      <c r="A62" s="228" t="s"/>
      <c r="B62" s="30" t="s"/>
      <c r="C62" s="30" t="s"/>
      <c r="D62" s="30" t="s"/>
      <c r="E62" s="31" t="s"/>
    </row>
    <row r="63" spans="1:5" ht="16.8" customHeight="true">
      <c r="A63" s="228" t="s"/>
      <c r="B63" s="30" t="s"/>
      <c r="C63" s="30" t="s"/>
      <c r="D63" s="30" t="s"/>
      <c r="E63" s="31" t="s"/>
    </row>
    <row r="64" spans="1:5" ht="16.8" customHeight="true">
      <c r="A64" s="228" t="s"/>
      <c r="B64" s="30" t="s"/>
      <c r="C64" s="30" t="s"/>
      <c r="D64" s="30" t="s"/>
      <c r="E64" s="31" t="s"/>
    </row>
    <row r="65" spans="1:5" ht="16.8" customHeight="true">
      <c r="A65" s="228" t="s"/>
      <c r="B65" s="30" t="s"/>
      <c r="C65" s="30" t="s"/>
      <c r="D65" s="30" t="s"/>
      <c r="E65" s="31" t="s"/>
    </row>
    <row r="66" spans="1:5" ht="16.8" customHeight="true">
      <c r="A66" s="228" t="s"/>
      <c r="B66" s="30" t="s"/>
      <c r="C66" s="30" t="s"/>
      <c r="D66" s="30" t="s"/>
      <c r="E66" s="31" t="s"/>
    </row>
    <row r="67" spans="1:5" ht="16.8" customHeight="true">
      <c r="A67" s="228" t="s"/>
      <c r="B67" s="30" t="s"/>
      <c r="C67" s="30" t="s"/>
      <c r="D67" s="30" t="s"/>
      <c r="E67" s="31" t="s"/>
    </row>
    <row r="68" spans="1:5" ht="16.8" customHeight="true">
      <c r="A68" s="228" t="s"/>
      <c r="B68" s="30" t="s"/>
      <c r="C68" s="30" t="s"/>
      <c r="D68" s="30" t="s"/>
      <c r="E68" s="31" t="s"/>
    </row>
    <row r="69" spans="1:5" ht="16.8" customHeight="true">
      <c r="A69" s="228" t="s"/>
      <c r="B69" s="30" t="s"/>
      <c r="C69" s="30" t="s"/>
      <c r="D69" s="30" t="s"/>
      <c r="E69" s="31" t="s"/>
    </row>
    <row r="70" spans="1:5" ht="16.8" customHeight="true">
      <c r="A70" s="228" t="s"/>
      <c r="B70" s="30" t="s"/>
      <c r="C70" s="30" t="s"/>
      <c r="D70" s="30" t="s"/>
      <c r="E70" s="31" t="s"/>
    </row>
    <row r="71" spans="1:5" ht="16.8" customHeight="true">
      <c r="A71" s="228" t="s"/>
      <c r="B71" s="30" t="s"/>
      <c r="C71" s="30" t="s"/>
      <c r="D71" s="30" t="s"/>
      <c r="E71" s="31" t="s"/>
    </row>
    <row r="72" spans="1:5" ht="16.8" customHeight="true">
      <c r="A72" s="228" t="s"/>
      <c r="B72" s="30" t="s"/>
      <c r="C72" s="30" t="s"/>
      <c r="D72" s="30" t="s"/>
      <c r="E72" s="31" t="s"/>
    </row>
    <row r="73" spans="1:5" ht="16.8" customHeight="true">
      <c r="A73" s="228" t="s"/>
      <c r="B73" s="30" t="s"/>
      <c r="C73" s="30" t="s"/>
      <c r="D73" s="30" t="s"/>
      <c r="E73" s="31" t="s"/>
    </row>
    <row r="74" spans="1:5" ht="16.8" customHeight="true">
      <c r="A74" s="228" t="s"/>
      <c r="B74" s="30" t="s"/>
      <c r="C74" s="30" t="s"/>
      <c r="D74" s="30" t="s"/>
      <c r="E74" s="31" t="s"/>
    </row>
    <row r="75" spans="1:5" ht="16.8" customHeight="true">
      <c r="A75" s="228" t="s"/>
      <c r="B75" s="30" t="s"/>
      <c r="C75" s="30" t="s"/>
      <c r="D75" s="30" t="s"/>
      <c r="E75" s="31" t="s"/>
    </row>
    <row r="76" spans="1:5" ht="16.8" customHeight="true">
      <c r="A76" s="228" t="s"/>
      <c r="B76" s="30" t="s"/>
      <c r="C76" s="30" t="s"/>
      <c r="D76" s="30" t="s"/>
      <c r="E76" s="31" t="s"/>
    </row>
    <row r="77" spans="1:5" ht="16.8" customHeight="true">
      <c r="A77" s="228" t="s"/>
      <c r="B77" s="30" t="s"/>
      <c r="C77" s="30" t="s"/>
      <c r="D77" s="30" t="s"/>
      <c r="E77" s="31" t="s"/>
    </row>
    <row r="78" spans="1:5" ht="16.8" customHeight="true">
      <c r="A78" s="228" t="s"/>
      <c r="B78" s="30" t="s"/>
      <c r="C78" s="30" t="s"/>
      <c r="D78" s="30" t="s"/>
      <c r="E78" s="31" t="s"/>
    </row>
    <row r="79" spans="1:5" ht="16.8" customHeight="true">
      <c r="A79" s="228" t="s"/>
      <c r="B79" s="30" t="s"/>
      <c r="C79" s="30" t="s"/>
      <c r="D79" s="30" t="s"/>
      <c r="E79" s="31" t="s"/>
    </row>
    <row r="80" spans="1:5" ht="16.8" customHeight="true">
      <c r="A80" s="228" t="s"/>
      <c r="B80" s="30" t="s"/>
      <c r="C80" s="30" t="s"/>
      <c r="D80" s="30" t="s"/>
      <c r="E80" s="31" t="s"/>
    </row>
    <row r="81" spans="1:5" ht="16.8" customHeight="true">
      <c r="A81" s="228" t="s"/>
      <c r="B81" s="30" t="s"/>
      <c r="C81" s="30" t="s"/>
      <c r="D81" s="30" t="s"/>
      <c r="E81" s="31" t="s"/>
    </row>
    <row r="82" spans="1:5" ht="16.8" customHeight="true">
      <c r="A82" s="228" t="s"/>
      <c r="B82" s="30" t="s"/>
      <c r="C82" s="30" t="s"/>
      <c r="D82" s="30" t="s"/>
      <c r="E82" s="31" t="s"/>
    </row>
    <row r="83" spans="1:5" ht="16.8" customHeight="true">
      <c r="A83" s="228" t="s"/>
      <c r="B83" s="30" t="s"/>
      <c r="C83" s="30" t="s"/>
      <c r="D83" s="30" t="s"/>
      <c r="E83" s="31" t="s"/>
    </row>
    <row r="84" spans="1:5" ht="16.8" customHeight="true">
      <c r="A84" s="228" t="s"/>
      <c r="B84" s="30" t="s"/>
      <c r="C84" s="30" t="s"/>
      <c r="D84" s="30" t="s"/>
      <c r="E84" s="31" t="s"/>
    </row>
    <row r="85" spans="1:5" ht="16.8" customHeight="true">
      <c r="A85" s="228" t="s"/>
      <c r="B85" s="30" t="s"/>
      <c r="C85" s="30" t="s"/>
      <c r="D85" s="30" t="s"/>
      <c r="E85" s="31" t="s"/>
    </row>
    <row r="86" spans="1:5" ht="16.8" customHeight="true">
      <c r="A86" s="228" t="s"/>
      <c r="B86" s="30" t="s"/>
      <c r="C86" s="30" t="s"/>
      <c r="D86" s="30" t="s"/>
      <c r="E86" s="31" t="s"/>
    </row>
    <row r="87" spans="1:5" ht="16.8" customHeight="true">
      <c r="A87" s="228" t="s"/>
      <c r="B87" s="30" t="s"/>
      <c r="C87" s="30" t="s"/>
      <c r="D87" s="30" t="s"/>
      <c r="E87" s="31" t="s"/>
    </row>
    <row r="88" spans="1:5" ht="16.8" customHeight="true">
      <c r="A88" s="228" t="s"/>
      <c r="B88" s="30" t="s"/>
      <c r="C88" s="30" t="s"/>
      <c r="D88" s="30" t="s"/>
      <c r="E88" s="31" t="s"/>
    </row>
    <row r="89" spans="1:5" ht="16.8" customHeight="true">
      <c r="A89" s="228" t="s"/>
      <c r="B89" s="30" t="s"/>
      <c r="C89" s="30" t="s"/>
      <c r="D89" s="30" t="s"/>
      <c r="E89" s="31" t="s"/>
    </row>
    <row r="90" spans="1:5" ht="16.8" customHeight="true">
      <c r="A90" s="228" t="s"/>
      <c r="B90" s="30" t="s"/>
      <c r="C90" s="30" t="s"/>
      <c r="D90" s="30" t="s"/>
      <c r="E90" s="31" t="s"/>
    </row>
    <row r="91" spans="1:5" ht="16.8" customHeight="true">
      <c r="A91" s="228" t="s"/>
      <c r="B91" s="30" t="s"/>
      <c r="C91" s="30" t="s"/>
      <c r="D91" s="30" t="s"/>
      <c r="E91" s="31" t="s"/>
    </row>
    <row r="92" spans="1:5" ht="16.8" customHeight="true">
      <c r="A92" s="228" t="s"/>
      <c r="B92" s="30" t="s"/>
      <c r="C92" s="30" t="s"/>
      <c r="D92" s="30" t="s"/>
      <c r="E92" s="31" t="s"/>
    </row>
    <row r="93" spans="1:5" ht="16.8" customHeight="true">
      <c r="A93" s="228" t="s"/>
      <c r="B93" s="30" t="s"/>
      <c r="C93" s="30" t="s"/>
      <c r="D93" s="30" t="s"/>
      <c r="E93" s="31" t="s"/>
    </row>
    <row r="94" spans="1:5" ht="16.8" customHeight="true">
      <c r="A94" s="228" t="s"/>
      <c r="B94" s="30" t="s"/>
      <c r="C94" s="30" t="s"/>
      <c r="D94" s="30" t="s"/>
      <c r="E94" s="31" t="s"/>
    </row>
    <row r="95" spans="1:5" ht="16.8" customHeight="true">
      <c r="A95" s="228" t="s"/>
      <c r="B95" s="30" t="s"/>
      <c r="C95" s="30" t="s"/>
      <c r="D95" s="30" t="s"/>
      <c r="E95" s="31" t="s"/>
    </row>
    <row r="96" spans="1:5" ht="16.8" customHeight="true">
      <c r="A96" s="228" t="s"/>
      <c r="B96" s="30" t="s"/>
      <c r="C96" s="30" t="s"/>
      <c r="D96" s="30" t="s"/>
      <c r="E96" s="31" t="s"/>
    </row>
    <row r="97" spans="1:5" ht="16.8" customHeight="true">
      <c r="A97" s="228" t="s"/>
      <c r="B97" s="30" t="s"/>
      <c r="C97" s="30" t="s"/>
      <c r="D97" s="30" t="s"/>
      <c r="E97" s="31" t="s"/>
    </row>
    <row r="98" spans="1:5" ht="16.8" customHeight="true">
      <c r="A98" s="228" t="s"/>
      <c r="B98" s="30" t="s"/>
      <c r="C98" s="30" t="s"/>
      <c r="D98" s="30" t="s"/>
      <c r="E98" s="31" t="s"/>
    </row>
    <row r="99" spans="1:5" ht="16.8" customHeight="true">
      <c r="A99" s="228" t="s"/>
      <c r="B99" s="30" t="s"/>
      <c r="C99" s="30" t="s"/>
      <c r="D99" s="30" t="s"/>
      <c r="E99" s="31" t="s"/>
    </row>
    <row r="100" spans="1:5" ht="16.8" customHeight="true">
      <c r="A100" s="228" t="s"/>
      <c r="B100" s="30" t="s"/>
      <c r="C100" s="30" t="s"/>
      <c r="D100" s="30" t="s"/>
      <c r="E100" s="31" t="s"/>
    </row>
    <row r="101" spans="1:5" ht="16.8" customHeight="true">
      <c r="A101" s="228" t="s"/>
      <c r="B101" s="30" t="s"/>
      <c r="C101" s="30" t="s"/>
      <c r="D101" s="30" t="s"/>
      <c r="E101" s="31" t="s"/>
    </row>
    <row r="102" spans="1:5" ht="16.8" customHeight="true">
      <c r="A102" s="228" t="s"/>
      <c r="B102" s="30" t="s"/>
      <c r="C102" s="30" t="s"/>
      <c r="D102" s="30" t="s"/>
      <c r="E102" s="31" t="s"/>
    </row>
    <row r="103" spans="1:5" ht="16.8" customHeight="true">
      <c r="A103" s="228" t="s"/>
      <c r="B103" s="30" t="s"/>
      <c r="C103" s="30" t="s"/>
      <c r="D103" s="30" t="s"/>
      <c r="E103" s="31" t="s"/>
    </row>
    <row r="104" spans="1:5" ht="16.8" customHeight="true">
      <c r="A104" s="228" t="s"/>
      <c r="B104" s="30" t="s"/>
      <c r="C104" s="30" t="s"/>
      <c r="D104" s="30" t="s"/>
      <c r="E104" s="31" t="s"/>
    </row>
    <row r="105" spans="1:5" ht="16.8" customHeight="true">
      <c r="A105" s="228" t="s"/>
      <c r="B105" s="30" t="s"/>
      <c r="C105" s="30" t="s"/>
      <c r="D105" s="30" t="s"/>
      <c r="E105" s="31" t="s"/>
    </row>
    <row r="106" spans="1:5" ht="16.8" customHeight="true">
      <c r="A106" s="228" t="s"/>
      <c r="B106" s="30" t="s"/>
      <c r="C106" s="30" t="s"/>
      <c r="D106" s="30" t="s"/>
      <c r="E106" s="31" t="s"/>
    </row>
    <row r="107" spans="1:5" ht="16.8" customHeight="true">
      <c r="A107" s="228" t="s"/>
      <c r="B107" s="30" t="s"/>
      <c r="C107" s="30" t="s"/>
      <c r="D107" s="30" t="s"/>
      <c r="E107" s="31" t="s"/>
    </row>
    <row r="108" spans="1:5" ht="16.8" customHeight="true">
      <c r="A108" s="228" t="s"/>
      <c r="B108" s="30" t="s"/>
      <c r="C108" s="30" t="s"/>
      <c r="D108" s="30" t="s"/>
      <c r="E108" s="31" t="s"/>
    </row>
    <row r="109" spans="1:5" ht="16.8" customHeight="true">
      <c r="A109" s="228" t="s"/>
      <c r="B109" s="30" t="s"/>
      <c r="C109" s="30" t="s"/>
      <c r="D109" s="30" t="s"/>
      <c r="E109" s="31" t="s"/>
    </row>
    <row r="110" spans="1:5" ht="16.8" customHeight="true">
      <c r="A110" s="228" t="s"/>
      <c r="B110" s="30" t="s"/>
      <c r="C110" s="30" t="s"/>
      <c r="D110" s="30" t="s"/>
      <c r="E110" s="31" t="s"/>
    </row>
    <row r="111" spans="1:5" ht="16.8" customHeight="true">
      <c r="A111" s="228" t="s"/>
      <c r="B111" s="30" t="s"/>
      <c r="C111" s="30" t="s"/>
      <c r="D111" s="30" t="s"/>
      <c r="E111" s="31" t="s"/>
    </row>
    <row r="112" spans="1:5" ht="16.8" customHeight="true">
      <c r="A112" s="228" t="s"/>
      <c r="B112" s="30" t="s"/>
      <c r="C112" s="30" t="s"/>
      <c r="D112" s="30" t="s"/>
      <c r="E112" s="31" t="s"/>
    </row>
    <row r="113" spans="1:5" ht="16.8" customHeight="true">
      <c r="A113" s="228" t="s"/>
      <c r="B113" s="30" t="s"/>
      <c r="C113" s="30" t="s"/>
      <c r="D113" s="30" t="s"/>
      <c r="E113" s="31" t="s"/>
    </row>
    <row r="114" spans="1:5" ht="16.8" customHeight="true">
      <c r="A114" s="228" t="s"/>
      <c r="B114" s="30" t="s"/>
      <c r="C114" s="30" t="s"/>
      <c r="D114" s="30" t="s"/>
      <c r="E114" s="31" t="s"/>
    </row>
    <row r="115" spans="1:5" ht="16.8" customHeight="true">
      <c r="A115" s="228" t="s"/>
      <c r="B115" s="30" t="s"/>
      <c r="C115" s="30" t="s"/>
      <c r="D115" s="30" t="s"/>
      <c r="E115" s="31" t="s"/>
    </row>
    <row r="116" spans="1:5" ht="16.8" customHeight="true">
      <c r="A116" s="228" t="s"/>
      <c r="B116" s="30" t="s"/>
      <c r="C116" s="30" t="s"/>
      <c r="D116" s="30" t="s"/>
      <c r="E116" s="31" t="s"/>
    </row>
    <row r="117" spans="1:5" ht="16.8" customHeight="true">
      <c r="A117" s="228" t="s"/>
      <c r="B117" s="30" t="s"/>
      <c r="C117" s="30" t="s"/>
      <c r="D117" s="30" t="s"/>
      <c r="E117" s="31" t="s"/>
    </row>
    <row r="118" spans="1:5" ht="16.8" customHeight="true">
      <c r="A118" s="228" t="s"/>
      <c r="B118" s="30" t="s"/>
      <c r="C118" s="30" t="s"/>
      <c r="D118" s="30" t="s"/>
      <c r="E118" s="31" t="s"/>
    </row>
    <row r="119" spans="1:5" ht="16.8" customHeight="true">
      <c r="A119" s="228" t="s"/>
      <c r="B119" s="30" t="s"/>
      <c r="C119" s="30" t="s"/>
      <c r="D119" s="30" t="s"/>
      <c r="E119" s="31" t="s"/>
    </row>
    <row r="120" spans="1:5" ht="16.8" customHeight="true">
      <c r="A120" s="228" t="s"/>
      <c r="B120" s="30" t="s"/>
      <c r="C120" s="30" t="s"/>
      <c r="D120" s="30" t="s"/>
      <c r="E120" s="31" t="s"/>
    </row>
    <row r="121" spans="1:5" ht="16.8" customHeight="true">
      <c r="A121" s="228" t="s"/>
      <c r="B121" s="30" t="s"/>
      <c r="C121" s="30" t="s"/>
      <c r="D121" s="30" t="s"/>
      <c r="E121" s="31" t="s"/>
    </row>
    <row r="122" spans="1:5" ht="16.8" customHeight="true">
      <c r="A122" s="228" t="s"/>
      <c r="B122" s="30" t="s"/>
      <c r="C122" s="30" t="s"/>
      <c r="D122" s="30" t="s"/>
      <c r="E122" s="31" t="s"/>
    </row>
    <row r="123" spans="1:5" ht="16.8" customHeight="true">
      <c r="A123" s="228" t="s"/>
      <c r="B123" s="30" t="s"/>
      <c r="C123" s="30" t="s"/>
      <c r="D123" s="30" t="s"/>
      <c r="E123" s="31" t="s"/>
    </row>
    <row r="124" spans="1:5" ht="16.8" customHeight="true">
      <c r="A124" s="228" t="s"/>
      <c r="B124" s="30" t="s"/>
      <c r="C124" s="30" t="s"/>
      <c r="D124" s="30" t="s"/>
      <c r="E124" s="31" t="s"/>
    </row>
    <row r="125" spans="1:5" ht="16.8" customHeight="true">
      <c r="A125" s="228" t="s"/>
      <c r="B125" s="30" t="s"/>
      <c r="C125" s="30" t="s"/>
      <c r="D125" s="30" t="s"/>
      <c r="E125" s="31" t="s"/>
    </row>
    <row r="126" spans="1:5" ht="16.8" customHeight="true">
      <c r="A126" s="228" t="s"/>
      <c r="B126" s="30" t="s"/>
      <c r="C126" s="30" t="s"/>
      <c r="D126" s="30" t="s"/>
      <c r="E126" s="31" t="s"/>
    </row>
    <row r="127" spans="1:5" ht="16.8" customHeight="true">
      <c r="A127" s="228" t="s"/>
      <c r="B127" s="30" t="s"/>
      <c r="C127" s="30" t="s"/>
      <c r="D127" s="30" t="s"/>
      <c r="E127" s="31" t="s"/>
    </row>
    <row r="128" spans="1:5" ht="16.8" customHeight="true">
      <c r="A128" s="228" t="s"/>
      <c r="B128" s="30" t="s"/>
      <c r="C128" s="30" t="s"/>
      <c r="D128" s="30" t="s"/>
      <c r="E128" s="31" t="s"/>
    </row>
    <row r="129" spans="1:5" ht="16.8" customHeight="true">
      <c r="A129" s="228" t="s"/>
      <c r="B129" s="30" t="s"/>
      <c r="C129" s="30" t="s"/>
      <c r="D129" s="30" t="s"/>
      <c r="E129" s="31" t="s"/>
    </row>
    <row r="130" spans="1:5" ht="16.8" customHeight="true">
      <c r="A130" s="228" t="s"/>
      <c r="B130" s="30" t="s"/>
      <c r="C130" s="30" t="s"/>
      <c r="D130" s="30" t="s"/>
      <c r="E130" s="31" t="s"/>
    </row>
    <row r="131" spans="1:5" ht="16.8" customHeight="true">
      <c r="A131" s="228" t="s"/>
      <c r="B131" s="30" t="s"/>
      <c r="C131" s="30" t="s"/>
      <c r="D131" s="30" t="s"/>
      <c r="E131" s="31" t="s"/>
    </row>
    <row r="132" spans="1:5" ht="16.8" customHeight="true">
      <c r="A132" s="228" t="s"/>
      <c r="B132" s="30" t="s"/>
      <c r="C132" s="30" t="s"/>
      <c r="D132" s="30" t="s"/>
      <c r="E132" s="31" t="s"/>
    </row>
    <row r="133" spans="1:5" ht="16.8" customHeight="true">
      <c r="A133" s="228" t="s"/>
      <c r="B133" s="30" t="s"/>
      <c r="C133" s="30" t="s"/>
      <c r="D133" s="30" t="s"/>
      <c r="E133" s="31" t="s"/>
    </row>
    <row r="134" spans="1:5" ht="16.8" customHeight="true">
      <c r="A134" s="228" t="s"/>
      <c r="B134" s="30" t="s"/>
      <c r="C134" s="30" t="s"/>
      <c r="D134" s="30" t="s"/>
      <c r="E134" s="31" t="s"/>
    </row>
    <row r="135" spans="1:5" ht="16.8" customHeight="true">
      <c r="A135" s="228" t="s"/>
      <c r="B135" s="30" t="s"/>
      <c r="C135" s="30" t="s"/>
      <c r="D135" s="30" t="s"/>
      <c r="E135" s="31" t="s"/>
    </row>
    <row r="136" spans="1:5" ht="16.8" customHeight="true">
      <c r="A136" s="228" t="s"/>
      <c r="B136" s="30" t="s"/>
      <c r="C136" s="30" t="s"/>
      <c r="D136" s="30" t="s"/>
      <c r="E136" s="31" t="s"/>
    </row>
    <row r="137" spans="1:5" ht="16.8" customHeight="true">
      <c r="A137" s="228" t="s"/>
      <c r="B137" s="30" t="s"/>
      <c r="C137" s="30" t="s"/>
      <c r="D137" s="30" t="s"/>
      <c r="E137" s="31" t="s"/>
    </row>
    <row r="138" spans="1:5" ht="16.8" customHeight="true">
      <c r="A138" s="228" t="s"/>
      <c r="B138" s="30" t="s"/>
      <c r="C138" s="30" t="s"/>
      <c r="D138" s="30" t="s"/>
      <c r="E138" s="31" t="s"/>
    </row>
    <row r="139" spans="1:5" ht="16.8" customHeight="true">
      <c r="A139" s="228" t="s"/>
      <c r="B139" s="30" t="s"/>
      <c r="C139" s="30" t="s"/>
      <c r="D139" s="30" t="s"/>
      <c r="E139" s="31" t="s"/>
    </row>
    <row r="140" spans="1:5" ht="16.8" customHeight="true">
      <c r="A140" s="228" t="s"/>
      <c r="B140" s="30" t="s"/>
      <c r="C140" s="30" t="s"/>
      <c r="D140" s="30" t="s"/>
      <c r="E140" s="31" t="s"/>
    </row>
    <row r="141" spans="1:5" ht="16.8" customHeight="true">
      <c r="A141" s="228" t="s"/>
      <c r="B141" s="30" t="s"/>
      <c r="C141" s="30" t="s"/>
      <c r="D141" s="30" t="s"/>
      <c r="E141" s="31" t="s"/>
    </row>
    <row r="142" spans="1:5" ht="16.8" customHeight="true">
      <c r="A142" s="228" t="s"/>
      <c r="B142" s="30" t="s"/>
      <c r="C142" s="30" t="s"/>
      <c r="D142" s="30" t="s"/>
      <c r="E142" s="31" t="s"/>
    </row>
    <row r="143" spans="1:5" ht="16.8" customHeight="true">
      <c r="A143" s="228" t="s"/>
      <c r="B143" s="30" t="s"/>
      <c r="C143" s="30" t="s"/>
      <c r="D143" s="30" t="s"/>
      <c r="E143" s="31" t="s"/>
    </row>
    <row r="144" spans="1:5" ht="16.8" customHeight="true">
      <c r="A144" s="228" t="s"/>
      <c r="B144" s="30" t="s"/>
      <c r="C144" s="30" t="s"/>
      <c r="D144" s="30" t="s"/>
      <c r="E144" s="31" t="s"/>
    </row>
    <row r="145" spans="1:5" ht="16.8" customHeight="true">
      <c r="A145" s="228" t="s"/>
      <c r="B145" s="30" t="s"/>
      <c r="C145" s="30" t="s"/>
      <c r="D145" s="30" t="s"/>
      <c r="E145" s="31" t="s"/>
    </row>
    <row r="146" spans="1:5" ht="16.8" customHeight="true">
      <c r="A146" s="228" t="s"/>
      <c r="B146" s="30" t="s"/>
      <c r="C146" s="30" t="s"/>
      <c r="D146" s="30" t="s"/>
      <c r="E146" s="31" t="s"/>
    </row>
    <row r="147" spans="1:5" ht="16.8" customHeight="true">
      <c r="A147" s="228" t="s"/>
      <c r="B147" s="30" t="s"/>
      <c r="C147" s="30" t="s"/>
      <c r="D147" s="30" t="s"/>
      <c r="E147" s="31" t="s"/>
    </row>
    <row r="148" spans="1:5" ht="16.8" customHeight="true">
      <c r="A148" s="228" t="s"/>
      <c r="B148" s="30" t="s"/>
      <c r="C148" s="30" t="s"/>
      <c r="D148" s="30" t="s"/>
      <c r="E148" s="31" t="s"/>
    </row>
    <row r="149" spans="1:5" ht="16.8" customHeight="true">
      <c r="A149" s="228" t="s"/>
      <c r="B149" s="30" t="s"/>
      <c r="C149" s="30" t="s"/>
      <c r="D149" s="30" t="s"/>
      <c r="E149" s="31" t="s"/>
    </row>
    <row r="150" spans="1:5" ht="16.8" customHeight="true">
      <c r="A150" s="228" t="s"/>
      <c r="B150" s="30" t="s"/>
      <c r="C150" s="30" t="s"/>
      <c r="D150" s="30" t="s"/>
      <c r="E150" s="31" t="s"/>
    </row>
    <row r="151" spans="1:5" ht="16.8" customHeight="true">
      <c r="A151" s="228" t="s"/>
      <c r="B151" s="30" t="s"/>
      <c r="C151" s="30" t="s"/>
      <c r="D151" s="30" t="s"/>
      <c r="E151" s="31" t="s"/>
    </row>
    <row r="152" spans="1:5" ht="16.8" customHeight="true">
      <c r="A152" s="228" t="s"/>
      <c r="B152" s="30" t="s"/>
      <c r="C152" s="30" t="s"/>
      <c r="D152" s="30" t="s"/>
      <c r="E152" s="31" t="s"/>
    </row>
    <row r="153" spans="1:5" ht="16.8" customHeight="true">
      <c r="A153" s="229" t="s"/>
      <c r="B153" s="33" t="s"/>
      <c r="C153" s="33" t="s"/>
      <c r="D153" s="33" t="s"/>
      <c r="E153" s="34" t="s"/>
    </row>
    <row r="154" spans="1:5">
      <c r="A154" s="230" t="s"/>
      <c r="B154" s="36" t="s"/>
      <c r="C154" s="36" t="s"/>
      <c r="D154" s="36" t="s"/>
      <c r="E154" s="37" t="s"/>
    </row>
    <row r="155" spans="1:5">
      <c r="A155" s="231" t="s"/>
      <c r="B155" s="39" t="s"/>
      <c r="C155" s="39" t="s"/>
      <c r="D155" s="39" t="s"/>
      <c r="E155" s="40" t="s"/>
    </row>
    <row r="156" spans="1:26" ht="16.8" customHeight="true">
      <c r="A156" s="232" t="s"/>
      <c r="B156" s="30" t="s"/>
      <c r="C156" s="30" t="s"/>
      <c r="D156" s="30" t="s"/>
      <c r="E156" s="31" t="s"/>
      <c r="F156" s="22" t="s"/>
      <c r="G156" s="22" t="s"/>
      <c r="H156" s="22" t="s"/>
      <c r="I156" s="22" t="s"/>
      <c r="J156" s="22" t="s"/>
      <c r="K156" s="22" t="s"/>
      <c r="L156" s="22" t="s"/>
      <c r="M156" s="22" t="s"/>
      <c r="N156" s="22" t="s"/>
      <c r="O156" s="22" t="s"/>
      <c r="P156" s="22" t="s"/>
      <c r="Q156" s="22" t="s"/>
      <c r="R156" s="22" t="s"/>
      <c r="S156" s="22" t="s"/>
      <c r="T156" s="22" t="s"/>
      <c r="U156" s="22" t="s"/>
      <c r="V156" s="22" t="s"/>
      <c r="W156" s="22" t="s"/>
      <c r="X156" s="22" t="s"/>
      <c r="Y156" s="22" t="s"/>
      <c r="Z156" s="22" t="s"/>
    </row>
    <row r="157" spans="1:26" ht="16.8" customHeight="true">
      <c r="A157" s="232" t="s"/>
      <c r="B157" s="30" t="s"/>
      <c r="C157" s="30" t="s"/>
      <c r="D157" s="30" t="s"/>
      <c r="E157" s="31" t="s"/>
      <c r="F157" s="22" t="s"/>
      <c r="G157" s="22" t="s"/>
      <c r="H157" s="22" t="s"/>
      <c r="I157" s="22" t="s"/>
      <c r="J157" s="22" t="s"/>
      <c r="K157" s="22" t="s"/>
      <c r="L157" s="22" t="s"/>
      <c r="M157" s="22" t="s"/>
      <c r="N157" s="22" t="s"/>
      <c r="O157" s="22" t="s"/>
      <c r="P157" s="22" t="s"/>
      <c r="Q157" s="22" t="s"/>
      <c r="R157" s="22" t="s"/>
      <c r="S157" s="22" t="s"/>
      <c r="T157" s="22" t="s"/>
      <c r="U157" s="22" t="s"/>
      <c r="V157" s="22" t="s"/>
      <c r="W157" s="22" t="s"/>
      <c r="X157" s="22" t="s"/>
      <c r="Y157" s="22" t="s"/>
      <c r="Z157" s="22" t="s"/>
    </row>
    <row r="158" spans="1:26" ht="16.8" customHeight="true">
      <c r="A158" s="232" t="s"/>
      <c r="B158" s="30" t="s"/>
      <c r="C158" s="30" t="s"/>
      <c r="D158" s="30" t="s"/>
      <c r="E158" s="31" t="s"/>
      <c r="F158" s="22" t="s"/>
      <c r="G158" s="22" t="s"/>
      <c r="H158" s="22" t="s"/>
      <c r="I158" s="22" t="s"/>
      <c r="J158" s="22" t="s"/>
      <c r="K158" s="22" t="s"/>
      <c r="L158" s="22" t="s"/>
      <c r="M158" s="22" t="s"/>
      <c r="N158" s="22" t="s"/>
      <c r="O158" s="22" t="s"/>
      <c r="P158" s="22" t="s"/>
      <c r="Q158" s="22" t="s"/>
      <c r="R158" s="22" t="s"/>
      <c r="S158" s="22" t="s"/>
      <c r="T158" s="22" t="s"/>
      <c r="U158" s="22" t="s"/>
      <c r="V158" s="22" t="s"/>
      <c r="W158" s="22" t="s"/>
      <c r="X158" s="22" t="s"/>
      <c r="Y158" s="22" t="s"/>
      <c r="Z158" s="22" t="s"/>
    </row>
    <row r="159" spans="1:26" ht="16.8" customHeight="true">
      <c r="A159" s="232" t="s"/>
      <c r="B159" s="30" t="s"/>
      <c r="C159" s="30" t="s"/>
      <c r="D159" s="30" t="s"/>
      <c r="E159" s="31" t="s"/>
      <c r="F159" s="22" t="s"/>
      <c r="G159" s="22" t="s"/>
      <c r="H159" s="22" t="s"/>
      <c r="I159" s="22" t="s"/>
      <c r="J159" s="22" t="s"/>
      <c r="K159" s="22" t="s"/>
      <c r="L159" s="22" t="s"/>
      <c r="M159" s="22" t="s"/>
      <c r="N159" s="22" t="s"/>
      <c r="O159" s="22" t="s"/>
      <c r="P159" s="22" t="s"/>
      <c r="Q159" s="22" t="s"/>
      <c r="R159" s="22" t="s"/>
      <c r="S159" s="22" t="s"/>
      <c r="T159" s="22" t="s"/>
      <c r="U159" s="22" t="s"/>
      <c r="V159" s="22" t="s"/>
      <c r="W159" s="22" t="s"/>
      <c r="X159" s="22" t="s"/>
      <c r="Y159" s="22" t="s"/>
      <c r="Z159" s="22" t="s"/>
    </row>
    <row r="160" spans="1:26" ht="16.8" customHeight="true">
      <c r="A160" s="232" t="s"/>
      <c r="B160" s="30" t="s"/>
      <c r="C160" s="30" t="s"/>
      <c r="D160" s="30" t="s"/>
      <c r="E160" s="31" t="s"/>
      <c r="F160" s="22" t="s"/>
      <c r="G160" s="22" t="s"/>
      <c r="H160" s="22" t="s"/>
      <c r="I160" s="22" t="s"/>
      <c r="J160" s="22" t="s"/>
      <c r="K160" s="22" t="s"/>
      <c r="L160" s="22" t="s"/>
      <c r="M160" s="22" t="s"/>
      <c r="N160" s="22" t="s"/>
      <c r="O160" s="22" t="s"/>
      <c r="P160" s="22" t="s"/>
      <c r="Q160" s="22" t="s"/>
      <c r="R160" s="22" t="s"/>
      <c r="S160" s="22" t="s"/>
      <c r="T160" s="22" t="s"/>
      <c r="U160" s="22" t="s"/>
      <c r="V160" s="22" t="s"/>
      <c r="W160" s="22" t="s"/>
      <c r="X160" s="22" t="s"/>
      <c r="Y160" s="22" t="s"/>
      <c r="Z160" s="22" t="s"/>
    </row>
    <row r="161" spans="1:26" ht="16.8" customHeight="true">
      <c r="A161" s="232" t="s"/>
      <c r="B161" s="30" t="s"/>
      <c r="C161" s="30" t="s"/>
      <c r="D161" s="30" t="s"/>
      <c r="E161" s="31" t="s"/>
      <c r="F161" s="22" t="s"/>
      <c r="G161" s="22" t="s"/>
      <c r="H161" s="22" t="s"/>
      <c r="I161" s="22" t="s"/>
      <c r="J161" s="22" t="s"/>
      <c r="K161" s="22" t="s"/>
      <c r="L161" s="22" t="s"/>
      <c r="M161" s="22" t="s"/>
      <c r="N161" s="22" t="s"/>
      <c r="O161" s="22" t="s"/>
      <c r="P161" s="22" t="s"/>
      <c r="Q161" s="22" t="s"/>
      <c r="R161" s="22" t="s"/>
      <c r="S161" s="22" t="s"/>
      <c r="T161" s="22" t="s"/>
      <c r="U161" s="22" t="s"/>
      <c r="V161" s="22" t="s"/>
      <c r="W161" s="22" t="s"/>
      <c r="X161" s="22" t="s"/>
      <c r="Y161" s="22" t="s"/>
      <c r="Z161" s="22" t="s"/>
    </row>
    <row r="162" spans="1:26" ht="16.8" customHeight="true">
      <c r="A162" s="232" t="s"/>
      <c r="B162" s="30" t="s"/>
      <c r="C162" s="30" t="s"/>
      <c r="D162" s="30" t="s"/>
      <c r="E162" s="31" t="s"/>
      <c r="F162" s="22" t="s"/>
      <c r="G162" s="22" t="s"/>
      <c r="H162" s="22" t="s"/>
      <c r="I162" s="22" t="s"/>
      <c r="J162" s="22" t="s"/>
      <c r="K162" s="22" t="s"/>
      <c r="L162" s="22" t="s"/>
      <c r="M162" s="22" t="s"/>
      <c r="N162" s="22" t="s"/>
      <c r="O162" s="22" t="s"/>
      <c r="P162" s="22" t="s"/>
      <c r="Q162" s="22" t="s"/>
      <c r="R162" s="22" t="s"/>
      <c r="S162" s="22" t="s"/>
      <c r="T162" s="22" t="s"/>
      <c r="U162" s="22" t="s"/>
      <c r="V162" s="22" t="s"/>
      <c r="W162" s="22" t="s"/>
      <c r="X162" s="22" t="s"/>
      <c r="Y162" s="22" t="s"/>
      <c r="Z162" s="22" t="s"/>
    </row>
    <row r="163" spans="1:26" ht="16.8" customHeight="true">
      <c r="A163" s="232" t="s"/>
      <c r="B163" s="30" t="s"/>
      <c r="C163" s="30" t="s"/>
      <c r="D163" s="30" t="s"/>
      <c r="E163" s="31" t="s"/>
      <c r="F163" s="22" t="s"/>
      <c r="G163" s="22" t="s"/>
      <c r="H163" s="22" t="s"/>
      <c r="I163" s="22" t="s"/>
      <c r="J163" s="22" t="s"/>
      <c r="K163" s="22" t="s"/>
      <c r="L163" s="22" t="s"/>
      <c r="M163" s="22" t="s"/>
      <c r="N163" s="22" t="s"/>
      <c r="O163" s="22" t="s"/>
      <c r="P163" s="22" t="s"/>
      <c r="Q163" s="22" t="s"/>
      <c r="R163" s="22" t="s"/>
      <c r="S163" s="22" t="s"/>
      <c r="T163" s="22" t="s"/>
      <c r="U163" s="22" t="s"/>
      <c r="V163" s="22" t="s"/>
      <c r="W163" s="22" t="s"/>
      <c r="X163" s="22" t="s"/>
      <c r="Y163" s="22" t="s"/>
      <c r="Z163" s="22" t="s"/>
    </row>
    <row r="164" spans="1:26" ht="16.8" customHeight="true">
      <c r="A164" s="232" t="s"/>
      <c r="B164" s="30" t="s"/>
      <c r="C164" s="30" t="s"/>
      <c r="D164" s="30" t="s"/>
      <c r="E164" s="31" t="s"/>
      <c r="F164" s="22" t="s"/>
      <c r="G164" s="22" t="s"/>
      <c r="H164" s="22" t="s"/>
      <c r="I164" s="22" t="s"/>
      <c r="J164" s="22" t="s"/>
      <c r="K164" s="22" t="s"/>
      <c r="L164" s="22" t="s"/>
      <c r="M164" s="22" t="s"/>
      <c r="N164" s="22" t="s"/>
      <c r="O164" s="22" t="s"/>
      <c r="P164" s="22" t="s"/>
      <c r="Q164" s="22" t="s"/>
      <c r="R164" s="22" t="s"/>
      <c r="S164" s="22" t="s"/>
      <c r="T164" s="22" t="s"/>
      <c r="U164" s="22" t="s"/>
      <c r="V164" s="22" t="s"/>
      <c r="W164" s="22" t="s"/>
      <c r="X164" s="22" t="s"/>
      <c r="Y164" s="22" t="s"/>
      <c r="Z164" s="22" t="s"/>
    </row>
    <row r="165" spans="1:26" ht="16.8" customHeight="true">
      <c r="A165" s="232" t="s"/>
      <c r="B165" s="30" t="s"/>
      <c r="C165" s="30" t="s"/>
      <c r="D165" s="30" t="s"/>
      <c r="E165" s="31" t="s"/>
      <c r="F165" s="22" t="s"/>
      <c r="G165" s="22" t="s"/>
      <c r="H165" s="22" t="s"/>
      <c r="I165" s="22" t="s"/>
      <c r="J165" s="22" t="s"/>
      <c r="K165" s="22" t="s"/>
      <c r="L165" s="22" t="s"/>
      <c r="M165" s="22" t="s"/>
      <c r="N165" s="22" t="s"/>
      <c r="O165" s="22" t="s"/>
      <c r="P165" s="22" t="s"/>
      <c r="Q165" s="22" t="s"/>
      <c r="R165" s="22" t="s"/>
      <c r="S165" s="22" t="s"/>
      <c r="T165" s="22" t="s"/>
      <c r="U165" s="22" t="s"/>
      <c r="V165" s="22" t="s"/>
      <c r="W165" s="22" t="s"/>
      <c r="X165" s="22" t="s"/>
      <c r="Y165" s="22" t="s"/>
      <c r="Z165" s="22" t="s"/>
    </row>
    <row r="166" spans="1:26" ht="16.8" customHeight="true">
      <c r="A166" s="232" t="s"/>
      <c r="B166" s="30" t="s"/>
      <c r="C166" s="30" t="s"/>
      <c r="D166" s="30" t="s"/>
      <c r="E166" s="31" t="s"/>
      <c r="F166" s="22" t="s"/>
      <c r="G166" s="22" t="s"/>
      <c r="H166" s="22" t="s"/>
      <c r="I166" s="22" t="s"/>
      <c r="J166" s="22" t="s"/>
      <c r="K166" s="22" t="s"/>
      <c r="L166" s="22" t="s"/>
      <c r="M166" s="22" t="s"/>
      <c r="N166" s="22" t="s"/>
      <c r="O166" s="22" t="s"/>
      <c r="P166" s="22" t="s"/>
      <c r="Q166" s="22" t="s"/>
      <c r="R166" s="22" t="s"/>
      <c r="S166" s="22" t="s"/>
      <c r="T166" s="22" t="s"/>
      <c r="U166" s="22" t="s"/>
      <c r="V166" s="22" t="s"/>
      <c r="W166" s="22" t="s"/>
      <c r="X166" s="22" t="s"/>
      <c r="Y166" s="22" t="s"/>
      <c r="Z166" s="22" t="s"/>
    </row>
    <row r="167" spans="1:26" ht="16.8" customHeight="true">
      <c r="A167" s="232" t="s"/>
      <c r="B167" s="30" t="s"/>
      <c r="C167" s="30" t="s"/>
      <c r="D167" s="30" t="s"/>
      <c r="E167" s="31" t="s"/>
      <c r="F167" s="22" t="s"/>
      <c r="G167" s="22" t="s"/>
      <c r="H167" s="22" t="s"/>
      <c r="I167" s="22" t="s"/>
      <c r="J167" s="22" t="s"/>
      <c r="K167" s="22" t="s"/>
      <c r="L167" s="22" t="s"/>
      <c r="M167" s="22" t="s"/>
      <c r="N167" s="22" t="s"/>
      <c r="O167" s="22" t="s"/>
      <c r="P167" s="22" t="s"/>
      <c r="Q167" s="22" t="s"/>
      <c r="R167" s="22" t="s"/>
      <c r="S167" s="22" t="s"/>
      <c r="T167" s="22" t="s"/>
      <c r="U167" s="22" t="s"/>
      <c r="V167" s="22" t="s"/>
      <c r="W167" s="22" t="s"/>
      <c r="X167" s="22" t="s"/>
      <c r="Y167" s="22" t="s"/>
      <c r="Z167" s="22" t="s"/>
    </row>
    <row r="168" spans="1:26" ht="16.8" customHeight="true">
      <c r="A168" s="232" t="s"/>
      <c r="B168" s="30" t="s"/>
      <c r="C168" s="30" t="s"/>
      <c r="D168" s="30" t="s"/>
      <c r="E168" s="31" t="s"/>
      <c r="F168" s="22" t="s"/>
      <c r="G168" s="22" t="s"/>
      <c r="H168" s="22" t="s"/>
      <c r="I168" s="22" t="s"/>
      <c r="J168" s="22" t="s"/>
      <c r="K168" s="22" t="s"/>
      <c r="L168" s="22" t="s"/>
      <c r="M168" s="22" t="s"/>
      <c r="N168" s="22" t="s"/>
      <c r="O168" s="22" t="s"/>
      <c r="P168" s="22" t="s"/>
      <c r="Q168" s="22" t="s"/>
      <c r="R168" s="22" t="s"/>
      <c r="S168" s="22" t="s"/>
      <c r="T168" s="22" t="s"/>
      <c r="U168" s="22" t="s"/>
      <c r="V168" s="22" t="s"/>
      <c r="W168" s="22" t="s"/>
      <c r="X168" s="22" t="s"/>
      <c r="Y168" s="22" t="s"/>
      <c r="Z168" s="22" t="s"/>
    </row>
    <row r="169" spans="1:26" ht="16.8" customHeight="true">
      <c r="A169" s="232" t="s"/>
      <c r="B169" s="30" t="s"/>
      <c r="C169" s="30" t="s"/>
      <c r="D169" s="30" t="s"/>
      <c r="E169" s="31" t="s"/>
      <c r="F169" s="22" t="s"/>
      <c r="G169" s="22" t="s"/>
      <c r="H169" s="22" t="s"/>
      <c r="I169" s="22" t="s"/>
      <c r="J169" s="22" t="s"/>
      <c r="K169" s="22" t="s"/>
      <c r="L169" s="22" t="s"/>
      <c r="M169" s="22" t="s"/>
      <c r="N169" s="22" t="s"/>
      <c r="O169" s="22" t="s"/>
      <c r="P169" s="22" t="s"/>
      <c r="Q169" s="22" t="s"/>
      <c r="R169" s="22" t="s"/>
      <c r="S169" s="22" t="s"/>
      <c r="T169" s="22" t="s"/>
      <c r="U169" s="22" t="s"/>
      <c r="V169" s="22" t="s"/>
      <c r="W169" s="22" t="s"/>
      <c r="X169" s="22" t="s"/>
      <c r="Y169" s="22" t="s"/>
      <c r="Z169" s="22" t="s"/>
    </row>
    <row r="170" spans="1:26" ht="16.8" customHeight="true">
      <c r="A170" s="232" t="s"/>
      <c r="B170" s="30" t="s"/>
      <c r="C170" s="30" t="s"/>
      <c r="D170" s="30" t="s"/>
      <c r="E170" s="31" t="s"/>
      <c r="F170" s="22" t="s"/>
      <c r="G170" s="22" t="s"/>
      <c r="H170" s="22" t="s"/>
      <c r="I170" s="22" t="s"/>
      <c r="J170" s="22" t="s"/>
      <c r="K170" s="22" t="s"/>
      <c r="L170" s="22" t="s"/>
      <c r="M170" s="22" t="s"/>
      <c r="N170" s="22" t="s"/>
      <c r="O170" s="22" t="s"/>
      <c r="P170" s="22" t="s"/>
      <c r="Q170" s="22" t="s"/>
      <c r="R170" s="22" t="s"/>
      <c r="S170" s="22" t="s"/>
      <c r="T170" s="22" t="s"/>
      <c r="U170" s="22" t="s"/>
      <c r="V170" s="22" t="s"/>
      <c r="W170" s="22" t="s"/>
      <c r="X170" s="22" t="s"/>
      <c r="Y170" s="22" t="s"/>
      <c r="Z170" s="22" t="s"/>
    </row>
    <row r="171" spans="1:26" ht="16.8" customHeight="true">
      <c r="A171" s="232" t="s"/>
      <c r="B171" s="30" t="s"/>
      <c r="C171" s="30" t="s"/>
      <c r="D171" s="30" t="s"/>
      <c r="E171" s="31" t="s"/>
      <c r="F171" s="22" t="s"/>
      <c r="G171" s="22" t="s"/>
      <c r="H171" s="22" t="s"/>
      <c r="I171" s="22" t="s"/>
      <c r="J171" s="22" t="s"/>
      <c r="K171" s="22" t="s"/>
      <c r="L171" s="22" t="s"/>
      <c r="M171" s="22" t="s"/>
      <c r="N171" s="22" t="s"/>
      <c r="O171" s="22" t="s"/>
      <c r="P171" s="22" t="s"/>
      <c r="Q171" s="22" t="s"/>
      <c r="R171" s="22" t="s"/>
      <c r="S171" s="22" t="s"/>
      <c r="T171" s="22" t="s"/>
      <c r="U171" s="22" t="s"/>
      <c r="V171" s="22" t="s"/>
      <c r="W171" s="22" t="s"/>
      <c r="X171" s="22" t="s"/>
      <c r="Y171" s="22" t="s"/>
      <c r="Z171" s="22" t="s"/>
    </row>
    <row r="172" spans="1:26" ht="16.8" customHeight="true">
      <c r="A172" s="232" t="s"/>
      <c r="B172" s="30" t="s"/>
      <c r="C172" s="30" t="s"/>
      <c r="D172" s="30" t="s"/>
      <c r="E172" s="31" t="s"/>
      <c r="F172" s="22" t="s"/>
      <c r="G172" s="22" t="s"/>
      <c r="H172" s="22" t="s"/>
      <c r="I172" s="22" t="s"/>
      <c r="J172" s="22" t="s"/>
      <c r="K172" s="22" t="s"/>
      <c r="L172" s="22" t="s"/>
      <c r="M172" s="22" t="s"/>
      <c r="N172" s="22" t="s"/>
      <c r="O172" s="22" t="s"/>
      <c r="P172" s="22" t="s"/>
      <c r="Q172" s="22" t="s"/>
      <c r="R172" s="22" t="s"/>
      <c r="S172" s="22" t="s"/>
      <c r="T172" s="22" t="s"/>
      <c r="U172" s="22" t="s"/>
      <c r="V172" s="22" t="s"/>
      <c r="W172" s="22" t="s"/>
      <c r="X172" s="22" t="s"/>
      <c r="Y172" s="22" t="s"/>
      <c r="Z172" s="22" t="s"/>
    </row>
    <row r="173" spans="1:26" ht="16.8" customHeight="true">
      <c r="A173" s="232" t="s"/>
      <c r="B173" s="30" t="s"/>
      <c r="C173" s="30" t="s"/>
      <c r="D173" s="30" t="s"/>
      <c r="E173" s="31" t="s"/>
      <c r="F173" s="22" t="s"/>
      <c r="G173" s="22" t="s"/>
      <c r="H173" s="22" t="s"/>
      <c r="I173" s="22" t="s"/>
      <c r="J173" s="22" t="s"/>
      <c r="K173" s="22" t="s"/>
      <c r="L173" s="22" t="s"/>
      <c r="M173" s="22" t="s"/>
      <c r="N173" s="22" t="s"/>
      <c r="O173" s="22" t="s"/>
      <c r="P173" s="22" t="s"/>
      <c r="Q173" s="22" t="s"/>
      <c r="R173" s="22" t="s"/>
      <c r="S173" s="22" t="s"/>
      <c r="T173" s="22" t="s"/>
      <c r="U173" s="22" t="s"/>
      <c r="V173" s="22" t="s"/>
      <c r="W173" s="22" t="s"/>
      <c r="X173" s="22" t="s"/>
      <c r="Y173" s="22" t="s"/>
      <c r="Z173" s="22" t="s"/>
    </row>
    <row r="174" spans="1:26" ht="16.8" customHeight="true">
      <c r="A174" s="232" t="s"/>
      <c r="B174" s="30" t="s"/>
      <c r="C174" s="30" t="s"/>
      <c r="D174" s="30" t="s"/>
      <c r="E174" s="31" t="s"/>
      <c r="F174" s="22" t="s"/>
      <c r="G174" s="22" t="s"/>
      <c r="H174" s="22" t="s"/>
      <c r="I174" s="22" t="s"/>
      <c r="J174" s="22" t="s"/>
      <c r="K174" s="22" t="s"/>
      <c r="L174" s="22" t="s"/>
      <c r="M174" s="22" t="s"/>
      <c r="N174" s="22" t="s"/>
      <c r="O174" s="22" t="s"/>
      <c r="P174" s="22" t="s"/>
      <c r="Q174" s="22" t="s"/>
      <c r="R174" s="22" t="s"/>
      <c r="S174" s="22" t="s"/>
      <c r="T174" s="22" t="s"/>
      <c r="U174" s="22" t="s"/>
      <c r="V174" s="22" t="s"/>
      <c r="W174" s="22" t="s"/>
      <c r="X174" s="22" t="s"/>
      <c r="Y174" s="22" t="s"/>
      <c r="Z174" s="22" t="s"/>
    </row>
    <row r="175" spans="1:26" ht="16.8" customHeight="true">
      <c r="A175" s="232" t="s"/>
      <c r="B175" s="30" t="s"/>
      <c r="C175" s="30" t="s"/>
      <c r="D175" s="30" t="s"/>
      <c r="E175" s="31" t="s"/>
      <c r="F175" s="22" t="s"/>
      <c r="G175" s="22" t="s"/>
      <c r="H175" s="22" t="s"/>
      <c r="I175" s="22" t="s"/>
      <c r="J175" s="22" t="s"/>
      <c r="K175" s="22" t="s"/>
      <c r="L175" s="22" t="s"/>
      <c r="M175" s="22" t="s"/>
      <c r="N175" s="22" t="s"/>
      <c r="O175" s="22" t="s"/>
      <c r="P175" s="22" t="s"/>
      <c r="Q175" s="22" t="s"/>
      <c r="R175" s="22" t="s"/>
      <c r="S175" s="22" t="s"/>
      <c r="T175" s="22" t="s"/>
      <c r="U175" s="22" t="s"/>
      <c r="V175" s="22" t="s"/>
      <c r="W175" s="22" t="s"/>
      <c r="X175" s="22" t="s"/>
      <c r="Y175" s="22" t="s"/>
      <c r="Z175" s="22" t="s"/>
    </row>
    <row r="176" spans="1:26" ht="16.8" customHeight="true">
      <c r="A176" s="232" t="s"/>
      <c r="B176" s="30" t="s"/>
      <c r="C176" s="30" t="s"/>
      <c r="D176" s="30" t="s"/>
      <c r="E176" s="31" t="s"/>
      <c r="F176" s="22" t="s"/>
      <c r="G176" s="22" t="s"/>
      <c r="H176" s="22" t="s"/>
      <c r="I176" s="22" t="s"/>
      <c r="J176" s="22" t="s"/>
      <c r="K176" s="22" t="s"/>
      <c r="L176" s="22" t="s"/>
      <c r="M176" s="22" t="s"/>
      <c r="N176" s="22" t="s"/>
      <c r="O176" s="22" t="s"/>
      <c r="P176" s="22" t="s"/>
      <c r="Q176" s="22" t="s"/>
      <c r="R176" s="22" t="s"/>
      <c r="S176" s="22" t="s"/>
      <c r="T176" s="22" t="s"/>
      <c r="U176" s="22" t="s"/>
      <c r="V176" s="22" t="s"/>
      <c r="W176" s="22" t="s"/>
      <c r="X176" s="22" t="s"/>
      <c r="Y176" s="22" t="s"/>
      <c r="Z176" s="22" t="s"/>
    </row>
    <row r="177" spans="1:26" ht="16.8" customHeight="true">
      <c r="A177" s="232" t="s"/>
      <c r="B177" s="30" t="s"/>
      <c r="C177" s="30" t="s"/>
      <c r="D177" s="30" t="s"/>
      <c r="E177" s="31" t="s"/>
      <c r="F177" s="22" t="s"/>
      <c r="G177" s="22" t="s"/>
      <c r="H177" s="22" t="s"/>
      <c r="I177" s="22" t="s"/>
      <c r="J177" s="22" t="s"/>
      <c r="K177" s="22" t="s"/>
      <c r="L177" s="22" t="s"/>
      <c r="M177" s="22" t="s"/>
      <c r="N177" s="22" t="s"/>
      <c r="O177" s="22" t="s"/>
      <c r="P177" s="22" t="s"/>
      <c r="Q177" s="22" t="s"/>
      <c r="R177" s="22" t="s"/>
      <c r="S177" s="22" t="s"/>
      <c r="T177" s="22" t="s"/>
      <c r="U177" s="22" t="s"/>
      <c r="V177" s="22" t="s"/>
      <c r="W177" s="22" t="s"/>
      <c r="X177" s="22" t="s"/>
      <c r="Y177" s="22" t="s"/>
      <c r="Z177" s="22" t="s"/>
    </row>
    <row r="178" spans="1:26" ht="16.8" customHeight="true">
      <c r="A178" s="232" t="s"/>
      <c r="B178" s="30" t="s"/>
      <c r="C178" s="30" t="s"/>
      <c r="D178" s="30" t="s"/>
      <c r="E178" s="31" t="s"/>
      <c r="F178" s="22" t="s"/>
      <c r="G178" s="22" t="s"/>
      <c r="H178" s="22" t="s"/>
      <c r="I178" s="22" t="s"/>
      <c r="J178" s="22" t="s"/>
      <c r="K178" s="22" t="s"/>
      <c r="L178" s="22" t="s"/>
      <c r="M178" s="22" t="s"/>
      <c r="N178" s="22" t="s"/>
      <c r="O178" s="22" t="s"/>
      <c r="P178" s="22" t="s"/>
      <c r="Q178" s="22" t="s"/>
      <c r="R178" s="22" t="s"/>
      <c r="S178" s="22" t="s"/>
      <c r="T178" s="22" t="s"/>
      <c r="U178" s="22" t="s"/>
      <c r="V178" s="22" t="s"/>
      <c r="W178" s="22" t="s"/>
      <c r="X178" s="22" t="s"/>
      <c r="Y178" s="22" t="s"/>
      <c r="Z178" s="22" t="s"/>
    </row>
    <row r="179" spans="1:26" ht="16.8" customHeight="true">
      <c r="A179" s="232" t="s"/>
      <c r="B179" s="30" t="s"/>
      <c r="C179" s="30" t="s"/>
      <c r="D179" s="30" t="s"/>
      <c r="E179" s="31" t="s"/>
      <c r="F179" s="22" t="s"/>
      <c r="G179" s="22" t="s"/>
      <c r="H179" s="22" t="s"/>
      <c r="I179" s="22" t="s"/>
      <c r="J179" s="22" t="s"/>
      <c r="K179" s="22" t="s"/>
      <c r="L179" s="22" t="s"/>
      <c r="M179" s="22" t="s"/>
      <c r="N179" s="22" t="s"/>
      <c r="O179" s="22" t="s"/>
      <c r="P179" s="22" t="s"/>
      <c r="Q179" s="22" t="s"/>
      <c r="R179" s="22" t="s"/>
      <c r="S179" s="22" t="s"/>
      <c r="T179" s="22" t="s"/>
      <c r="U179" s="22" t="s"/>
      <c r="V179" s="22" t="s"/>
      <c r="W179" s="22" t="s"/>
      <c r="X179" s="22" t="s"/>
      <c r="Y179" s="22" t="s"/>
      <c r="Z179" s="22" t="s"/>
    </row>
    <row r="180" spans="1:26" ht="16.8" customHeight="true">
      <c r="A180" s="232" t="s"/>
      <c r="B180" s="30" t="s"/>
      <c r="C180" s="30" t="s"/>
      <c r="D180" s="30" t="s"/>
      <c r="E180" s="31" t="s"/>
      <c r="F180" s="22" t="s"/>
      <c r="G180" s="22" t="s"/>
      <c r="H180" s="22" t="s"/>
      <c r="I180" s="22" t="s"/>
      <c r="J180" s="22" t="s"/>
      <c r="K180" s="22" t="s"/>
      <c r="L180" s="22" t="s"/>
      <c r="M180" s="22" t="s"/>
      <c r="N180" s="22" t="s"/>
      <c r="O180" s="22" t="s"/>
      <c r="P180" s="22" t="s"/>
      <c r="Q180" s="22" t="s"/>
      <c r="R180" s="22" t="s"/>
      <c r="S180" s="22" t="s"/>
      <c r="T180" s="22" t="s"/>
      <c r="U180" s="22" t="s"/>
      <c r="V180" s="22" t="s"/>
      <c r="W180" s="22" t="s"/>
      <c r="X180" s="22" t="s"/>
      <c r="Y180" s="22" t="s"/>
      <c r="Z180" s="22" t="s"/>
    </row>
    <row r="181" spans="1:26" ht="16.8" customHeight="true">
      <c r="A181" s="232" t="s"/>
      <c r="B181" s="30" t="s"/>
      <c r="C181" s="30" t="s"/>
      <c r="D181" s="30" t="s"/>
      <c r="E181" s="31" t="s"/>
      <c r="F181" s="22" t="s"/>
      <c r="G181" s="22" t="s"/>
      <c r="H181" s="22" t="s"/>
      <c r="I181" s="22" t="s"/>
      <c r="J181" s="22" t="s"/>
      <c r="K181" s="22" t="s"/>
      <c r="L181" s="22" t="s"/>
      <c r="M181" s="22" t="s"/>
      <c r="N181" s="22" t="s"/>
      <c r="O181" s="22" t="s"/>
      <c r="P181" s="22" t="s"/>
      <c r="Q181" s="22" t="s"/>
      <c r="R181" s="22" t="s"/>
      <c r="S181" s="22" t="s"/>
      <c r="T181" s="22" t="s"/>
      <c r="U181" s="22" t="s"/>
      <c r="V181" s="22" t="s"/>
      <c r="W181" s="22" t="s"/>
      <c r="X181" s="22" t="s"/>
      <c r="Y181" s="22" t="s"/>
      <c r="Z181" s="22" t="s"/>
    </row>
    <row r="182" spans="1:26" ht="16.8" customHeight="true">
      <c r="A182" s="232" t="s"/>
      <c r="B182" s="30" t="s"/>
      <c r="C182" s="30" t="s"/>
      <c r="D182" s="30" t="s"/>
      <c r="E182" s="31" t="s"/>
      <c r="F182" s="22" t="s"/>
      <c r="G182" s="22" t="s"/>
      <c r="H182" s="22" t="s"/>
      <c r="I182" s="22" t="s"/>
      <c r="J182" s="22" t="s"/>
      <c r="K182" s="22" t="s"/>
      <c r="L182" s="22" t="s"/>
      <c r="M182" s="22" t="s"/>
      <c r="N182" s="22" t="s"/>
      <c r="O182" s="22" t="s"/>
      <c r="P182" s="22" t="s"/>
      <c r="Q182" s="22" t="s"/>
      <c r="R182" s="22" t="s"/>
      <c r="S182" s="22" t="s"/>
      <c r="T182" s="22" t="s"/>
      <c r="U182" s="22" t="s"/>
      <c r="V182" s="22" t="s"/>
      <c r="W182" s="22" t="s"/>
      <c r="X182" s="22" t="s"/>
      <c r="Y182" s="22" t="s"/>
      <c r="Z182" s="22" t="s"/>
    </row>
    <row r="183" spans="1:26" ht="16.8" customHeight="true">
      <c r="A183" s="232" t="s"/>
      <c r="B183" s="30" t="s"/>
      <c r="C183" s="30" t="s"/>
      <c r="D183" s="30" t="s"/>
      <c r="E183" s="31" t="s"/>
      <c r="F183" s="22" t="s"/>
      <c r="G183" s="22" t="s"/>
      <c r="H183" s="22" t="s"/>
      <c r="I183" s="22" t="s"/>
      <c r="J183" s="22" t="s"/>
      <c r="K183" s="22" t="s"/>
      <c r="L183" s="22" t="s"/>
      <c r="M183" s="22" t="s"/>
      <c r="N183" s="22" t="s"/>
      <c r="O183" s="22" t="s"/>
      <c r="P183" s="22" t="s"/>
      <c r="Q183" s="22" t="s"/>
      <c r="R183" s="22" t="s"/>
      <c r="S183" s="22" t="s"/>
      <c r="T183" s="22" t="s"/>
      <c r="U183" s="22" t="s"/>
      <c r="V183" s="22" t="s"/>
      <c r="W183" s="22" t="s"/>
      <c r="X183" s="22" t="s"/>
      <c r="Y183" s="22" t="s"/>
      <c r="Z183" s="22" t="s"/>
    </row>
    <row r="184" spans="1:26" ht="16.8" customHeight="true">
      <c r="A184" s="232" t="s"/>
      <c r="B184" s="30" t="s"/>
      <c r="C184" s="30" t="s"/>
      <c r="D184" s="30" t="s"/>
      <c r="E184" s="31" t="s"/>
      <c r="F184" s="22" t="s"/>
      <c r="G184" s="22" t="s"/>
      <c r="H184" s="22" t="s"/>
      <c r="I184" s="22" t="s"/>
      <c r="J184" s="22" t="s"/>
      <c r="K184" s="22" t="s"/>
      <c r="L184" s="22" t="s"/>
      <c r="M184" s="22" t="s"/>
      <c r="N184" s="22" t="s"/>
      <c r="O184" s="22" t="s"/>
      <c r="P184" s="22" t="s"/>
      <c r="Q184" s="22" t="s"/>
      <c r="R184" s="22" t="s"/>
      <c r="S184" s="22" t="s"/>
      <c r="T184" s="22" t="s"/>
      <c r="U184" s="22" t="s"/>
      <c r="V184" s="22" t="s"/>
      <c r="W184" s="22" t="s"/>
      <c r="X184" s="22" t="s"/>
      <c r="Y184" s="22" t="s"/>
      <c r="Z184" s="22" t="s"/>
    </row>
    <row r="185" spans="1:26" ht="16.8" customHeight="true">
      <c r="A185" s="232" t="s"/>
      <c r="B185" s="30" t="s"/>
      <c r="C185" s="30" t="s"/>
      <c r="D185" s="30" t="s"/>
      <c r="E185" s="31" t="s"/>
      <c r="F185" s="22" t="s"/>
      <c r="G185" s="22" t="s"/>
      <c r="H185" s="22" t="s"/>
      <c r="I185" s="22" t="s"/>
      <c r="J185" s="22" t="s"/>
      <c r="K185" s="22" t="s"/>
      <c r="L185" s="22" t="s"/>
      <c r="M185" s="22" t="s"/>
      <c r="N185" s="22" t="s"/>
      <c r="O185" s="22" t="s"/>
      <c r="P185" s="22" t="s"/>
      <c r="Q185" s="22" t="s"/>
      <c r="R185" s="22" t="s"/>
      <c r="S185" s="22" t="s"/>
      <c r="T185" s="22" t="s"/>
      <c r="U185" s="22" t="s"/>
      <c r="V185" s="22" t="s"/>
      <c r="W185" s="22" t="s"/>
      <c r="X185" s="22" t="s"/>
      <c r="Y185" s="22" t="s"/>
      <c r="Z185" s="22" t="s"/>
    </row>
    <row r="186" spans="1:26" ht="16.8" customHeight="true">
      <c r="A186" s="232" t="s"/>
      <c r="B186" s="30" t="s"/>
      <c r="C186" s="30" t="s"/>
      <c r="D186" s="30" t="s"/>
      <c r="E186" s="31" t="s"/>
      <c r="F186" s="22" t="s"/>
      <c r="G186" s="22" t="s"/>
      <c r="H186" s="22" t="s"/>
      <c r="I186" s="22" t="s"/>
      <c r="J186" s="22" t="s"/>
      <c r="K186" s="22" t="s"/>
      <c r="L186" s="22" t="s"/>
      <c r="M186" s="22" t="s"/>
      <c r="N186" s="22" t="s"/>
      <c r="O186" s="22" t="s"/>
      <c r="P186" s="22" t="s"/>
      <c r="Q186" s="22" t="s"/>
      <c r="R186" s="22" t="s"/>
      <c r="S186" s="22" t="s"/>
      <c r="T186" s="22" t="s"/>
      <c r="U186" s="22" t="s"/>
      <c r="V186" s="22" t="s"/>
      <c r="W186" s="22" t="s"/>
      <c r="X186" s="22" t="s"/>
      <c r="Y186" s="22" t="s"/>
      <c r="Z186" s="22" t="s"/>
    </row>
    <row r="187" spans="1:26" ht="16.8" customHeight="true">
      <c r="A187" s="232" t="s"/>
      <c r="B187" s="30" t="s"/>
      <c r="C187" s="30" t="s"/>
      <c r="D187" s="30" t="s"/>
      <c r="E187" s="31" t="s"/>
      <c r="F187" s="22" t="s"/>
      <c r="G187" s="22" t="s"/>
      <c r="H187" s="22" t="s"/>
      <c r="I187" s="22" t="s"/>
      <c r="J187" s="22" t="s"/>
      <c r="K187" s="22" t="s"/>
      <c r="L187" s="22" t="s"/>
      <c r="M187" s="22" t="s"/>
      <c r="N187" s="22" t="s"/>
      <c r="O187" s="22" t="s"/>
      <c r="P187" s="22" t="s"/>
      <c r="Q187" s="22" t="s"/>
      <c r="R187" s="22" t="s"/>
      <c r="S187" s="22" t="s"/>
      <c r="T187" s="22" t="s"/>
      <c r="U187" s="22" t="s"/>
      <c r="V187" s="22" t="s"/>
      <c r="W187" s="22" t="s"/>
      <c r="X187" s="22" t="s"/>
      <c r="Y187" s="22" t="s"/>
      <c r="Z187" s="22" t="s"/>
    </row>
    <row r="188" spans="1:26" ht="16.8" customHeight="true">
      <c r="A188" s="232" t="s"/>
      <c r="B188" s="30" t="s"/>
      <c r="C188" s="30" t="s"/>
      <c r="D188" s="30" t="s"/>
      <c r="E188" s="31" t="s"/>
      <c r="F188" s="22" t="s"/>
      <c r="G188" s="22" t="s"/>
      <c r="H188" s="22" t="s"/>
      <c r="I188" s="22" t="s"/>
      <c r="J188" s="22" t="s"/>
      <c r="K188" s="22" t="s"/>
      <c r="L188" s="22" t="s"/>
      <c r="M188" s="22" t="s"/>
      <c r="N188" s="22" t="s"/>
      <c r="O188" s="22" t="s"/>
      <c r="P188" s="22" t="s"/>
      <c r="Q188" s="22" t="s"/>
      <c r="R188" s="22" t="s"/>
      <c r="S188" s="22" t="s"/>
      <c r="T188" s="22" t="s"/>
      <c r="U188" s="22" t="s"/>
      <c r="V188" s="22" t="s"/>
      <c r="W188" s="22" t="s"/>
      <c r="X188" s="22" t="s"/>
      <c r="Y188" s="22" t="s"/>
      <c r="Z188" s="22" t="s"/>
    </row>
    <row r="189" spans="1:26" ht="16.8" customHeight="true">
      <c r="A189" s="232" t="s"/>
      <c r="B189" s="30" t="s"/>
      <c r="C189" s="30" t="s"/>
      <c r="D189" s="30" t="s"/>
      <c r="E189" s="31" t="s"/>
      <c r="F189" s="22" t="s"/>
      <c r="G189" s="22" t="s"/>
      <c r="H189" s="22" t="s"/>
      <c r="I189" s="22" t="s"/>
      <c r="J189" s="22" t="s"/>
      <c r="K189" s="22" t="s"/>
      <c r="L189" s="22" t="s"/>
      <c r="M189" s="22" t="s"/>
      <c r="N189" s="22" t="s"/>
      <c r="O189" s="22" t="s"/>
      <c r="P189" s="22" t="s"/>
      <c r="Q189" s="22" t="s"/>
      <c r="R189" s="22" t="s"/>
      <c r="S189" s="22" t="s"/>
      <c r="T189" s="22" t="s"/>
      <c r="U189" s="22" t="s"/>
      <c r="V189" s="22" t="s"/>
      <c r="W189" s="22" t="s"/>
      <c r="X189" s="22" t="s"/>
      <c r="Y189" s="22" t="s"/>
      <c r="Z189" s="22" t="s"/>
    </row>
    <row r="190" spans="1:26" ht="16.8" customHeight="true">
      <c r="A190" s="232" t="s"/>
      <c r="B190" s="30" t="s"/>
      <c r="C190" s="30" t="s"/>
      <c r="D190" s="30" t="s"/>
      <c r="E190" s="31" t="s"/>
      <c r="F190" s="22" t="s"/>
      <c r="G190" s="22" t="s"/>
      <c r="H190" s="22" t="s"/>
      <c r="I190" s="22" t="s"/>
      <c r="J190" s="22" t="s"/>
      <c r="K190" s="22" t="s"/>
      <c r="L190" s="22" t="s"/>
      <c r="M190" s="22" t="s"/>
      <c r="N190" s="22" t="s"/>
      <c r="O190" s="22" t="s"/>
      <c r="P190" s="22" t="s"/>
      <c r="Q190" s="22" t="s"/>
      <c r="R190" s="22" t="s"/>
      <c r="S190" s="22" t="s"/>
      <c r="T190" s="22" t="s"/>
      <c r="U190" s="22" t="s"/>
      <c r="V190" s="22" t="s"/>
      <c r="W190" s="22" t="s"/>
      <c r="X190" s="22" t="s"/>
      <c r="Y190" s="22" t="s"/>
      <c r="Z190" s="22" t="s"/>
    </row>
    <row r="191" spans="1:26" ht="16.8" customHeight="true">
      <c r="A191" s="232" t="s"/>
      <c r="B191" s="30" t="s"/>
      <c r="C191" s="30" t="s"/>
      <c r="D191" s="30" t="s"/>
      <c r="E191" s="31" t="s"/>
      <c r="F191" s="22" t="s"/>
      <c r="G191" s="22" t="s"/>
      <c r="H191" s="22" t="s"/>
      <c r="I191" s="22" t="s"/>
      <c r="J191" s="22" t="s"/>
      <c r="K191" s="22" t="s"/>
      <c r="L191" s="22" t="s"/>
      <c r="M191" s="22" t="s"/>
      <c r="N191" s="22" t="s"/>
      <c r="O191" s="22" t="s"/>
      <c r="P191" s="22" t="s"/>
      <c r="Q191" s="22" t="s"/>
      <c r="R191" s="22" t="s"/>
      <c r="S191" s="22" t="s"/>
      <c r="T191" s="22" t="s"/>
      <c r="U191" s="22" t="s"/>
      <c r="V191" s="22" t="s"/>
      <c r="W191" s="22" t="s"/>
      <c r="X191" s="22" t="s"/>
      <c r="Y191" s="22" t="s"/>
      <c r="Z191" s="22" t="s"/>
    </row>
    <row r="192" spans="1:26" ht="16.8" customHeight="true">
      <c r="A192" s="232" t="s"/>
      <c r="B192" s="30" t="s"/>
      <c r="C192" s="30" t="s"/>
      <c r="D192" s="30" t="s"/>
      <c r="E192" s="31" t="s"/>
      <c r="F192" s="22" t="s"/>
      <c r="G192" s="22" t="s"/>
      <c r="H192" s="22" t="s"/>
      <c r="I192" s="22" t="s"/>
      <c r="J192" s="22" t="s"/>
      <c r="K192" s="22" t="s"/>
      <c r="L192" s="22" t="s"/>
      <c r="M192" s="22" t="s"/>
      <c r="N192" s="22" t="s"/>
      <c r="O192" s="22" t="s"/>
      <c r="P192" s="22" t="s"/>
      <c r="Q192" s="22" t="s"/>
      <c r="R192" s="22" t="s"/>
      <c r="S192" s="22" t="s"/>
      <c r="T192" s="22" t="s"/>
      <c r="U192" s="22" t="s"/>
      <c r="V192" s="22" t="s"/>
      <c r="W192" s="22" t="s"/>
      <c r="X192" s="22" t="s"/>
      <c r="Y192" s="22" t="s"/>
      <c r="Z192" s="22" t="s"/>
    </row>
    <row r="193" spans="1:26" ht="16.8" customHeight="true">
      <c r="A193" s="232" t="s"/>
      <c r="B193" s="30" t="s"/>
      <c r="C193" s="30" t="s"/>
      <c r="D193" s="30" t="s"/>
      <c r="E193" s="31" t="s"/>
      <c r="F193" s="22" t="s"/>
      <c r="G193" s="22" t="s"/>
      <c r="H193" s="22" t="s"/>
      <c r="I193" s="22" t="s"/>
      <c r="J193" s="22" t="s"/>
      <c r="K193" s="22" t="s"/>
      <c r="L193" s="22" t="s"/>
      <c r="M193" s="22" t="s"/>
      <c r="N193" s="22" t="s"/>
      <c r="O193" s="22" t="s"/>
      <c r="P193" s="22" t="s"/>
      <c r="Q193" s="22" t="s"/>
      <c r="R193" s="22" t="s"/>
      <c r="S193" s="22" t="s"/>
      <c r="T193" s="22" t="s"/>
      <c r="U193" s="22" t="s"/>
      <c r="V193" s="22" t="s"/>
      <c r="W193" s="22" t="s"/>
      <c r="X193" s="22" t="s"/>
      <c r="Y193" s="22" t="s"/>
      <c r="Z193" s="22" t="s"/>
    </row>
    <row r="194" spans="1:26" ht="16.8" customHeight="true">
      <c r="A194" s="232" t="s"/>
      <c r="B194" s="30" t="s"/>
      <c r="C194" s="30" t="s"/>
      <c r="D194" s="30" t="s"/>
      <c r="E194" s="31" t="s"/>
      <c r="F194" s="22" t="s"/>
      <c r="G194" s="22" t="s"/>
      <c r="H194" s="22" t="s"/>
      <c r="I194" s="22" t="s"/>
      <c r="J194" s="22" t="s"/>
      <c r="K194" s="22" t="s"/>
      <c r="L194" s="22" t="s"/>
      <c r="M194" s="22" t="s"/>
      <c r="N194" s="22" t="s"/>
      <c r="O194" s="22" t="s"/>
      <c r="P194" s="22" t="s"/>
      <c r="Q194" s="22" t="s"/>
      <c r="R194" s="22" t="s"/>
      <c r="S194" s="22" t="s"/>
      <c r="T194" s="22" t="s"/>
      <c r="U194" s="22" t="s"/>
      <c r="V194" s="22" t="s"/>
      <c r="W194" s="22" t="s"/>
      <c r="X194" s="22" t="s"/>
      <c r="Y194" s="22" t="s"/>
      <c r="Z194" s="22" t="s"/>
    </row>
    <row r="195" spans="1:26" ht="16.8" customHeight="true">
      <c r="A195" s="232" t="s"/>
      <c r="B195" s="30" t="s"/>
      <c r="C195" s="30" t="s"/>
      <c r="D195" s="30" t="s"/>
      <c r="E195" s="31" t="s"/>
      <c r="F195" s="22" t="s"/>
      <c r="G195" s="22" t="s"/>
      <c r="H195" s="22" t="s"/>
      <c r="I195" s="22" t="s"/>
      <c r="J195" s="22" t="s"/>
      <c r="K195" s="22" t="s"/>
      <c r="L195" s="22" t="s"/>
      <c r="M195" s="22" t="s"/>
      <c r="N195" s="22" t="s"/>
      <c r="O195" s="22" t="s"/>
      <c r="P195" s="22" t="s"/>
      <c r="Q195" s="22" t="s"/>
      <c r="R195" s="22" t="s"/>
      <c r="S195" s="22" t="s"/>
      <c r="T195" s="22" t="s"/>
      <c r="U195" s="22" t="s"/>
      <c r="V195" s="22" t="s"/>
      <c r="W195" s="22" t="s"/>
      <c r="X195" s="22" t="s"/>
      <c r="Y195" s="22" t="s"/>
      <c r="Z195" s="22" t="s"/>
    </row>
    <row r="196" spans="1:26" ht="16.8" customHeight="true">
      <c r="A196" s="232" t="s"/>
      <c r="B196" s="30" t="s"/>
      <c r="C196" s="30" t="s"/>
      <c r="D196" s="30" t="s"/>
      <c r="E196" s="31" t="s"/>
      <c r="F196" s="22" t="s"/>
      <c r="G196" s="22" t="s"/>
      <c r="H196" s="22" t="s"/>
      <c r="I196" s="22" t="s"/>
      <c r="J196" s="22" t="s"/>
      <c r="K196" s="22" t="s"/>
      <c r="L196" s="22" t="s"/>
      <c r="M196" s="22" t="s"/>
      <c r="N196" s="22" t="s"/>
      <c r="O196" s="22" t="s"/>
      <c r="P196" s="22" t="s"/>
      <c r="Q196" s="22" t="s"/>
      <c r="R196" s="22" t="s"/>
      <c r="S196" s="22" t="s"/>
      <c r="T196" s="22" t="s"/>
      <c r="U196" s="22" t="s"/>
      <c r="V196" s="22" t="s"/>
      <c r="W196" s="22" t="s"/>
      <c r="X196" s="22" t="s"/>
      <c r="Y196" s="22" t="s"/>
      <c r="Z196" s="22" t="s"/>
    </row>
    <row r="197" spans="1:26" ht="16.8" customHeight="true">
      <c r="A197" s="232" t="s"/>
      <c r="B197" s="30" t="s"/>
      <c r="C197" s="30" t="s"/>
      <c r="D197" s="30" t="s"/>
      <c r="E197" s="31" t="s"/>
      <c r="F197" s="22" t="s"/>
      <c r="G197" s="22" t="s"/>
      <c r="H197" s="22" t="s"/>
      <c r="I197" s="22" t="s"/>
      <c r="J197" s="22" t="s"/>
      <c r="K197" s="22" t="s"/>
      <c r="L197" s="22" t="s"/>
      <c r="M197" s="22" t="s"/>
      <c r="N197" s="22" t="s"/>
      <c r="O197" s="22" t="s"/>
      <c r="P197" s="22" t="s"/>
      <c r="Q197" s="22" t="s"/>
      <c r="R197" s="22" t="s"/>
      <c r="S197" s="22" t="s"/>
      <c r="T197" s="22" t="s"/>
      <c r="U197" s="22" t="s"/>
      <c r="V197" s="22" t="s"/>
      <c r="W197" s="22" t="s"/>
      <c r="X197" s="22" t="s"/>
      <c r="Y197" s="22" t="s"/>
      <c r="Z197" s="22" t="s"/>
    </row>
    <row r="198" spans="1:26" ht="16.8" customHeight="true">
      <c r="A198" s="232" t="s"/>
      <c r="B198" s="30" t="s"/>
      <c r="C198" s="30" t="s"/>
      <c r="D198" s="30" t="s"/>
      <c r="E198" s="31" t="s"/>
      <c r="F198" s="22" t="s"/>
      <c r="G198" s="22" t="s"/>
      <c r="H198" s="22" t="s"/>
      <c r="I198" s="22" t="s"/>
      <c r="J198" s="22" t="s"/>
      <c r="K198" s="22" t="s"/>
      <c r="L198" s="22" t="s"/>
      <c r="M198" s="22" t="s"/>
      <c r="N198" s="22" t="s"/>
      <c r="O198" s="22" t="s"/>
      <c r="P198" s="22" t="s"/>
      <c r="Q198" s="22" t="s"/>
      <c r="R198" s="22" t="s"/>
      <c r="S198" s="22" t="s"/>
      <c r="T198" s="22" t="s"/>
      <c r="U198" s="22" t="s"/>
      <c r="V198" s="22" t="s"/>
      <c r="W198" s="22" t="s"/>
      <c r="X198" s="22" t="s"/>
      <c r="Y198" s="22" t="s"/>
      <c r="Z198" s="22" t="s"/>
    </row>
    <row r="199" spans="1:26" ht="16.8" customHeight="true">
      <c r="A199" s="232" t="s"/>
      <c r="B199" s="30" t="s"/>
      <c r="C199" s="30" t="s"/>
      <c r="D199" s="30" t="s"/>
      <c r="E199" s="31" t="s"/>
      <c r="F199" s="22" t="s"/>
      <c r="G199" s="22" t="s"/>
      <c r="H199" s="22" t="s"/>
      <c r="I199" s="22" t="s"/>
      <c r="J199" s="22" t="s"/>
      <c r="K199" s="22" t="s"/>
      <c r="L199" s="22" t="s"/>
      <c r="M199" s="22" t="s"/>
      <c r="N199" s="22" t="s"/>
      <c r="O199" s="22" t="s"/>
      <c r="P199" s="22" t="s"/>
      <c r="Q199" s="22" t="s"/>
      <c r="R199" s="22" t="s"/>
      <c r="S199" s="22" t="s"/>
      <c r="T199" s="22" t="s"/>
      <c r="U199" s="22" t="s"/>
      <c r="V199" s="22" t="s"/>
      <c r="W199" s="22" t="s"/>
      <c r="X199" s="22" t="s"/>
      <c r="Y199" s="22" t="s"/>
      <c r="Z199" s="22" t="s"/>
    </row>
    <row r="200" spans="1:26" ht="16.8" customHeight="true">
      <c r="A200" s="232" t="s"/>
      <c r="B200" s="30" t="s"/>
      <c r="C200" s="30" t="s"/>
      <c r="D200" s="30" t="s"/>
      <c r="E200" s="31" t="s"/>
      <c r="F200" s="22" t="s"/>
      <c r="G200" s="22" t="s"/>
      <c r="H200" s="22" t="s"/>
      <c r="I200" s="22" t="s"/>
      <c r="J200" s="22" t="s"/>
      <c r="K200" s="22" t="s"/>
      <c r="L200" s="22" t="s"/>
      <c r="M200" s="22" t="s"/>
      <c r="N200" s="22" t="s"/>
      <c r="O200" s="22" t="s"/>
      <c r="P200" s="22" t="s"/>
      <c r="Q200" s="22" t="s"/>
      <c r="R200" s="22" t="s"/>
      <c r="S200" s="22" t="s"/>
      <c r="T200" s="22" t="s"/>
      <c r="U200" s="22" t="s"/>
      <c r="V200" s="22" t="s"/>
      <c r="W200" s="22" t="s"/>
      <c r="X200" s="22" t="s"/>
      <c r="Y200" s="22" t="s"/>
      <c r="Z200" s="22" t="s"/>
    </row>
    <row r="201" spans="1:26" ht="16.8" customHeight="true">
      <c r="A201" s="232" t="s"/>
      <c r="B201" s="30" t="s"/>
      <c r="C201" s="30" t="s"/>
      <c r="D201" s="30" t="s"/>
      <c r="E201" s="31" t="s"/>
      <c r="F201" s="22" t="s"/>
      <c r="G201" s="22" t="s"/>
      <c r="H201" s="22" t="s"/>
      <c r="I201" s="22" t="s"/>
      <c r="J201" s="22" t="s"/>
      <c r="K201" s="22" t="s"/>
      <c r="L201" s="22" t="s"/>
      <c r="M201" s="22" t="s"/>
      <c r="N201" s="22" t="s"/>
      <c r="O201" s="22" t="s"/>
      <c r="P201" s="22" t="s"/>
      <c r="Q201" s="22" t="s"/>
      <c r="R201" s="22" t="s"/>
      <c r="S201" s="22" t="s"/>
      <c r="T201" s="22" t="s"/>
      <c r="U201" s="22" t="s"/>
      <c r="V201" s="22" t="s"/>
      <c r="W201" s="22" t="s"/>
      <c r="X201" s="22" t="s"/>
      <c r="Y201" s="22" t="s"/>
      <c r="Z201" s="22" t="s"/>
    </row>
    <row r="202" spans="1:26" ht="16.8" customHeight="true">
      <c r="A202" s="232" t="s"/>
      <c r="B202" s="30" t="s"/>
      <c r="C202" s="30" t="s"/>
      <c r="D202" s="30" t="s"/>
      <c r="E202" s="31" t="s"/>
      <c r="F202" s="22" t="s"/>
      <c r="G202" s="22" t="s"/>
      <c r="H202" s="22" t="s"/>
      <c r="I202" s="22" t="s"/>
      <c r="J202" s="22" t="s"/>
      <c r="K202" s="22" t="s"/>
      <c r="L202" s="22" t="s"/>
      <c r="M202" s="22" t="s"/>
      <c r="N202" s="22" t="s"/>
      <c r="O202" s="22" t="s"/>
      <c r="P202" s="22" t="s"/>
      <c r="Q202" s="22" t="s"/>
      <c r="R202" s="22" t="s"/>
      <c r="S202" s="22" t="s"/>
      <c r="T202" s="22" t="s"/>
      <c r="U202" s="22" t="s"/>
      <c r="V202" s="22" t="s"/>
      <c r="W202" s="22" t="s"/>
      <c r="X202" s="22" t="s"/>
      <c r="Y202" s="22" t="s"/>
      <c r="Z202" s="22" t="s"/>
    </row>
    <row r="203" spans="1:26" ht="16.8" customHeight="true">
      <c r="A203" s="232" t="s"/>
      <c r="B203" s="30" t="s"/>
      <c r="C203" s="30" t="s"/>
      <c r="D203" s="30" t="s"/>
      <c r="E203" s="31" t="s"/>
      <c r="F203" s="22" t="s"/>
      <c r="G203" s="22" t="s"/>
      <c r="H203" s="22" t="s"/>
      <c r="I203" s="22" t="s"/>
      <c r="J203" s="22" t="s"/>
      <c r="K203" s="22" t="s"/>
      <c r="L203" s="22" t="s"/>
      <c r="M203" s="22" t="s"/>
      <c r="N203" s="22" t="s"/>
      <c r="O203" s="22" t="s"/>
      <c r="P203" s="22" t="s"/>
      <c r="Q203" s="22" t="s"/>
      <c r="R203" s="22" t="s"/>
      <c r="S203" s="22" t="s"/>
      <c r="T203" s="22" t="s"/>
      <c r="U203" s="22" t="s"/>
      <c r="V203" s="22" t="s"/>
      <c r="W203" s="22" t="s"/>
      <c r="X203" s="22" t="s"/>
      <c r="Y203" s="22" t="s"/>
      <c r="Z203" s="22" t="s"/>
    </row>
    <row r="204" spans="1:26" ht="16.8" customHeight="true">
      <c r="A204" s="232" t="s"/>
      <c r="B204" s="30" t="s"/>
      <c r="C204" s="30" t="s"/>
      <c r="D204" s="30" t="s"/>
      <c r="E204" s="31" t="s"/>
      <c r="F204" s="22" t="s"/>
      <c r="G204" s="22" t="s"/>
      <c r="H204" s="22" t="s"/>
      <c r="I204" s="22" t="s"/>
      <c r="J204" s="22" t="s"/>
      <c r="K204" s="22" t="s"/>
      <c r="L204" s="22" t="s"/>
      <c r="M204" s="22" t="s"/>
      <c r="N204" s="22" t="s"/>
      <c r="O204" s="22" t="s"/>
      <c r="P204" s="22" t="s"/>
      <c r="Q204" s="22" t="s"/>
      <c r="R204" s="22" t="s"/>
      <c r="S204" s="22" t="s"/>
      <c r="T204" s="22" t="s"/>
      <c r="U204" s="22" t="s"/>
      <c r="V204" s="22" t="s"/>
      <c r="W204" s="22" t="s"/>
      <c r="X204" s="22" t="s"/>
      <c r="Y204" s="22" t="s"/>
      <c r="Z204" s="22" t="s"/>
    </row>
    <row r="205" spans="1:26" ht="16.8" customHeight="true">
      <c r="A205" s="232" t="s"/>
      <c r="B205" s="30" t="s"/>
      <c r="C205" s="30" t="s"/>
      <c r="D205" s="30" t="s"/>
      <c r="E205" s="31" t="s"/>
      <c r="F205" s="22" t="s"/>
      <c r="G205" s="22" t="s"/>
      <c r="H205" s="22" t="s"/>
      <c r="I205" s="22" t="s"/>
      <c r="J205" s="22" t="s"/>
      <c r="K205" s="22" t="s"/>
      <c r="L205" s="22" t="s"/>
      <c r="M205" s="22" t="s"/>
      <c r="N205" s="22" t="s"/>
      <c r="O205" s="22" t="s"/>
      <c r="P205" s="22" t="s"/>
      <c r="Q205" s="22" t="s"/>
      <c r="R205" s="22" t="s"/>
      <c r="S205" s="22" t="s"/>
      <c r="T205" s="22" t="s"/>
      <c r="U205" s="22" t="s"/>
      <c r="V205" s="22" t="s"/>
      <c r="W205" s="22" t="s"/>
      <c r="X205" s="22" t="s"/>
      <c r="Y205" s="22" t="s"/>
      <c r="Z205" s="22" t="s"/>
    </row>
    <row r="206" spans="1:26" ht="16.8" customHeight="true">
      <c r="A206" s="232" t="s"/>
      <c r="B206" s="30" t="s"/>
      <c r="C206" s="30" t="s"/>
      <c r="D206" s="30" t="s"/>
      <c r="E206" s="31" t="s"/>
      <c r="F206" s="22" t="s"/>
      <c r="G206" s="22" t="s"/>
      <c r="H206" s="22" t="s"/>
      <c r="I206" s="22" t="s"/>
      <c r="J206" s="22" t="s"/>
      <c r="K206" s="22" t="s"/>
      <c r="L206" s="22" t="s"/>
      <c r="M206" s="22" t="s"/>
      <c r="N206" s="22" t="s"/>
      <c r="O206" s="22" t="s"/>
      <c r="P206" s="22" t="s"/>
      <c r="Q206" s="22" t="s"/>
      <c r="R206" s="22" t="s"/>
      <c r="S206" s="22" t="s"/>
      <c r="T206" s="22" t="s"/>
      <c r="U206" s="22" t="s"/>
      <c r="V206" s="22" t="s"/>
      <c r="W206" s="22" t="s"/>
      <c r="X206" s="22" t="s"/>
      <c r="Y206" s="22" t="s"/>
      <c r="Z206" s="22" t="s"/>
    </row>
    <row r="207" spans="1:26" ht="16.8" customHeight="true">
      <c r="A207" s="232" t="s"/>
      <c r="B207" s="30" t="s"/>
      <c r="C207" s="30" t="s"/>
      <c r="D207" s="30" t="s"/>
      <c r="E207" s="31" t="s"/>
      <c r="F207" s="22" t="s"/>
      <c r="G207" s="22" t="s"/>
      <c r="H207" s="22" t="s"/>
      <c r="I207" s="22" t="s"/>
      <c r="J207" s="22" t="s"/>
      <c r="K207" s="22" t="s"/>
      <c r="L207" s="22" t="s"/>
      <c r="M207" s="22" t="s"/>
      <c r="N207" s="22" t="s"/>
      <c r="O207" s="22" t="s"/>
      <c r="P207" s="22" t="s"/>
      <c r="Q207" s="22" t="s"/>
      <c r="R207" s="22" t="s"/>
      <c r="S207" s="22" t="s"/>
      <c r="T207" s="22" t="s"/>
      <c r="U207" s="22" t="s"/>
      <c r="V207" s="22" t="s"/>
      <c r="W207" s="22" t="s"/>
      <c r="X207" s="22" t="s"/>
      <c r="Y207" s="22" t="s"/>
      <c r="Z207" s="22" t="s"/>
    </row>
    <row r="208" spans="1:26" ht="16.8" customHeight="true">
      <c r="A208" s="232" t="s"/>
      <c r="B208" s="30" t="s"/>
      <c r="C208" s="30" t="s"/>
      <c r="D208" s="30" t="s"/>
      <c r="E208" s="31" t="s"/>
      <c r="F208" s="22" t="s"/>
      <c r="G208" s="22" t="s"/>
      <c r="H208" s="22" t="s"/>
      <c r="I208" s="22" t="s"/>
      <c r="J208" s="22" t="s"/>
      <c r="K208" s="22" t="s"/>
      <c r="L208" s="22" t="s"/>
      <c r="M208" s="22" t="s"/>
      <c r="N208" s="22" t="s"/>
      <c r="O208" s="22" t="s"/>
      <c r="P208" s="22" t="s"/>
      <c r="Q208" s="22" t="s"/>
      <c r="R208" s="22" t="s"/>
      <c r="S208" s="22" t="s"/>
      <c r="T208" s="22" t="s"/>
      <c r="U208" s="22" t="s"/>
      <c r="V208" s="22" t="s"/>
      <c r="W208" s="22" t="s"/>
      <c r="X208" s="22" t="s"/>
      <c r="Y208" s="22" t="s"/>
      <c r="Z208" s="22" t="s"/>
    </row>
    <row r="209" spans="1:26" ht="16.8" customHeight="true">
      <c r="A209" s="232" t="s"/>
      <c r="B209" s="30" t="s"/>
      <c r="C209" s="30" t="s"/>
      <c r="D209" s="30" t="s"/>
      <c r="E209" s="31" t="s"/>
      <c r="F209" s="22" t="s"/>
      <c r="G209" s="22" t="s"/>
      <c r="H209" s="22" t="s"/>
      <c r="I209" s="22" t="s"/>
      <c r="J209" s="22" t="s"/>
      <c r="K209" s="22" t="s"/>
      <c r="L209" s="22" t="s"/>
      <c r="M209" s="22" t="s"/>
      <c r="N209" s="22" t="s"/>
      <c r="O209" s="22" t="s"/>
      <c r="P209" s="22" t="s"/>
      <c r="Q209" s="22" t="s"/>
      <c r="R209" s="22" t="s"/>
      <c r="S209" s="22" t="s"/>
      <c r="T209" s="22" t="s"/>
      <c r="U209" s="22" t="s"/>
      <c r="V209" s="22" t="s"/>
      <c r="W209" s="22" t="s"/>
      <c r="X209" s="22" t="s"/>
      <c r="Y209" s="22" t="s"/>
      <c r="Z209" s="22" t="s"/>
    </row>
    <row r="210" spans="1:26" ht="16.8" customHeight="true">
      <c r="A210" s="232" t="s"/>
      <c r="B210" s="30" t="s"/>
      <c r="C210" s="30" t="s"/>
      <c r="D210" s="30" t="s"/>
      <c r="E210" s="31" t="s"/>
      <c r="F210" s="22" t="s"/>
      <c r="G210" s="22" t="s"/>
      <c r="H210" s="22" t="s"/>
      <c r="I210" s="22" t="s"/>
      <c r="J210" s="22" t="s"/>
      <c r="K210" s="22" t="s"/>
      <c r="L210" s="22" t="s"/>
      <c r="M210" s="22" t="s"/>
      <c r="N210" s="22" t="s"/>
      <c r="O210" s="22" t="s"/>
      <c r="P210" s="22" t="s"/>
      <c r="Q210" s="22" t="s"/>
      <c r="R210" s="22" t="s"/>
      <c r="S210" s="22" t="s"/>
      <c r="T210" s="22" t="s"/>
      <c r="U210" s="22" t="s"/>
      <c r="V210" s="22" t="s"/>
      <c r="W210" s="22" t="s"/>
      <c r="X210" s="22" t="s"/>
      <c r="Y210" s="22" t="s"/>
      <c r="Z210" s="22" t="s"/>
    </row>
    <row r="211" spans="1:26" ht="16.8" customHeight="true">
      <c r="A211" s="232" t="s"/>
      <c r="B211" s="30" t="s"/>
      <c r="C211" s="30" t="s"/>
      <c r="D211" s="30" t="s"/>
      <c r="E211" s="31" t="s"/>
      <c r="F211" s="22" t="s"/>
      <c r="G211" s="22" t="s"/>
      <c r="H211" s="22" t="s"/>
      <c r="I211" s="22" t="s"/>
      <c r="J211" s="22" t="s"/>
      <c r="K211" s="22" t="s"/>
      <c r="L211" s="22" t="s"/>
      <c r="M211" s="22" t="s"/>
      <c r="N211" s="22" t="s"/>
      <c r="O211" s="22" t="s"/>
      <c r="P211" s="22" t="s"/>
      <c r="Q211" s="22" t="s"/>
      <c r="R211" s="22" t="s"/>
      <c r="S211" s="22" t="s"/>
      <c r="T211" s="22" t="s"/>
      <c r="U211" s="22" t="s"/>
      <c r="V211" s="22" t="s"/>
      <c r="W211" s="22" t="s"/>
      <c r="X211" s="22" t="s"/>
      <c r="Y211" s="22" t="s"/>
      <c r="Z211" s="22" t="s"/>
    </row>
    <row r="212" spans="1:26" ht="16.8" customHeight="true">
      <c r="A212" s="232" t="s"/>
      <c r="B212" s="30" t="s"/>
      <c r="C212" s="30" t="s"/>
      <c r="D212" s="30" t="s"/>
      <c r="E212" s="31" t="s"/>
      <c r="F212" s="22" t="s"/>
      <c r="G212" s="22" t="s"/>
      <c r="H212" s="22" t="s"/>
      <c r="I212" s="22" t="s"/>
      <c r="J212" s="22" t="s"/>
      <c r="K212" s="22" t="s"/>
      <c r="L212" s="22" t="s"/>
      <c r="M212" s="22" t="s"/>
      <c r="N212" s="22" t="s"/>
      <c r="O212" s="22" t="s"/>
      <c r="P212" s="22" t="s"/>
      <c r="Q212" s="22" t="s"/>
      <c r="R212" s="22" t="s"/>
      <c r="S212" s="22" t="s"/>
      <c r="T212" s="22" t="s"/>
      <c r="U212" s="22" t="s"/>
      <c r="V212" s="22" t="s"/>
      <c r="W212" s="22" t="s"/>
      <c r="X212" s="22" t="s"/>
      <c r="Y212" s="22" t="s"/>
      <c r="Z212" s="22" t="s"/>
    </row>
    <row r="213" spans="1:26" ht="16.8" customHeight="true">
      <c r="A213" s="232" t="s"/>
      <c r="B213" s="30" t="s"/>
      <c r="C213" s="30" t="s"/>
      <c r="D213" s="30" t="s"/>
      <c r="E213" s="31" t="s"/>
      <c r="F213" s="22" t="s"/>
      <c r="G213" s="22" t="s"/>
      <c r="H213" s="22" t="s"/>
      <c r="I213" s="22" t="s"/>
      <c r="J213" s="22" t="s"/>
      <c r="K213" s="22" t="s"/>
      <c r="L213" s="22" t="s"/>
      <c r="M213" s="22" t="s"/>
      <c r="N213" s="22" t="s"/>
      <c r="O213" s="22" t="s"/>
      <c r="P213" s="22" t="s"/>
      <c r="Q213" s="22" t="s"/>
      <c r="R213" s="22" t="s"/>
      <c r="S213" s="22" t="s"/>
      <c r="T213" s="22" t="s"/>
      <c r="U213" s="22" t="s"/>
      <c r="V213" s="22" t="s"/>
      <c r="W213" s="22" t="s"/>
      <c r="X213" s="22" t="s"/>
      <c r="Y213" s="22" t="s"/>
      <c r="Z213" s="22" t="s"/>
    </row>
    <row r="214" spans="1:26" ht="16.8" customHeight="true">
      <c r="A214" s="232" t="s"/>
      <c r="B214" s="30" t="s"/>
      <c r="C214" s="30" t="s"/>
      <c r="D214" s="30" t="s"/>
      <c r="E214" s="31" t="s"/>
      <c r="F214" s="22" t="s"/>
      <c r="G214" s="22" t="s"/>
      <c r="H214" s="22" t="s"/>
      <c r="I214" s="22" t="s"/>
      <c r="J214" s="22" t="s"/>
      <c r="K214" s="22" t="s"/>
      <c r="L214" s="22" t="s"/>
      <c r="M214" s="22" t="s"/>
      <c r="N214" s="22" t="s"/>
      <c r="O214" s="22" t="s"/>
      <c r="P214" s="22" t="s"/>
      <c r="Q214" s="22" t="s"/>
      <c r="R214" s="22" t="s"/>
      <c r="S214" s="22" t="s"/>
      <c r="T214" s="22" t="s"/>
      <c r="U214" s="22" t="s"/>
      <c r="V214" s="22" t="s"/>
      <c r="W214" s="22" t="s"/>
      <c r="X214" s="22" t="s"/>
      <c r="Y214" s="22" t="s"/>
      <c r="Z214" s="22" t="s"/>
    </row>
    <row r="215" spans="1:26" ht="16.8" customHeight="true">
      <c r="A215" s="232" t="s"/>
      <c r="B215" s="30" t="s"/>
      <c r="C215" s="30" t="s"/>
      <c r="D215" s="30" t="s"/>
      <c r="E215" s="31" t="s"/>
      <c r="F215" s="22" t="s"/>
      <c r="G215" s="22" t="s"/>
      <c r="H215" s="22" t="s"/>
      <c r="I215" s="22" t="s"/>
      <c r="J215" s="22" t="s"/>
      <c r="K215" s="22" t="s"/>
      <c r="L215" s="22" t="s"/>
      <c r="M215" s="22" t="s"/>
      <c r="N215" s="22" t="s"/>
      <c r="O215" s="22" t="s"/>
      <c r="P215" s="22" t="s"/>
      <c r="Q215" s="22" t="s"/>
      <c r="R215" s="22" t="s"/>
      <c r="S215" s="22" t="s"/>
      <c r="T215" s="22" t="s"/>
      <c r="U215" s="22" t="s"/>
      <c r="V215" s="22" t="s"/>
      <c r="W215" s="22" t="s"/>
      <c r="X215" s="22" t="s"/>
      <c r="Y215" s="22" t="s"/>
      <c r="Z215" s="22" t="s"/>
    </row>
    <row r="216" spans="1:26" ht="16.8" customHeight="true">
      <c r="A216" s="232" t="s"/>
      <c r="B216" s="30" t="s"/>
      <c r="C216" s="30" t="s"/>
      <c r="D216" s="30" t="s"/>
      <c r="E216" s="31" t="s"/>
      <c r="F216" s="22" t="s"/>
      <c r="G216" s="22" t="s"/>
      <c r="H216" s="22" t="s"/>
      <c r="I216" s="22" t="s"/>
      <c r="J216" s="22" t="s"/>
      <c r="K216" s="22" t="s"/>
      <c r="L216" s="22" t="s"/>
      <c r="M216" s="22" t="s"/>
      <c r="N216" s="22" t="s"/>
      <c r="O216" s="22" t="s"/>
      <c r="P216" s="22" t="s"/>
      <c r="Q216" s="22" t="s"/>
      <c r="R216" s="22" t="s"/>
      <c r="S216" s="22" t="s"/>
      <c r="T216" s="22" t="s"/>
      <c r="U216" s="22" t="s"/>
      <c r="V216" s="22" t="s"/>
      <c r="W216" s="22" t="s"/>
      <c r="X216" s="22" t="s"/>
      <c r="Y216" s="22" t="s"/>
      <c r="Z216" s="22" t="s"/>
    </row>
    <row r="217" spans="1:26" ht="16.8" customHeight="true">
      <c r="A217" s="232" t="s"/>
      <c r="B217" s="30" t="s"/>
      <c r="C217" s="30" t="s"/>
      <c r="D217" s="30" t="s"/>
      <c r="E217" s="31" t="s"/>
      <c r="F217" s="22" t="s"/>
      <c r="G217" s="22" t="s"/>
      <c r="H217" s="22" t="s"/>
      <c r="I217" s="22" t="s"/>
      <c r="J217" s="22" t="s"/>
      <c r="K217" s="22" t="s"/>
      <c r="L217" s="22" t="s"/>
      <c r="M217" s="22" t="s"/>
      <c r="N217" s="22" t="s"/>
      <c r="O217" s="22" t="s"/>
      <c r="P217" s="22" t="s"/>
      <c r="Q217" s="22" t="s"/>
      <c r="R217" s="22" t="s"/>
      <c r="S217" s="22" t="s"/>
      <c r="T217" s="22" t="s"/>
      <c r="U217" s="22" t="s"/>
      <c r="V217" s="22" t="s"/>
      <c r="W217" s="22" t="s"/>
      <c r="X217" s="22" t="s"/>
      <c r="Y217" s="22" t="s"/>
      <c r="Z217" s="22" t="s"/>
    </row>
    <row r="218" spans="1:26" ht="16.8" customHeight="true">
      <c r="A218" s="232" t="s"/>
      <c r="B218" s="30" t="s"/>
      <c r="C218" s="30" t="s"/>
      <c r="D218" s="30" t="s"/>
      <c r="E218" s="31" t="s"/>
      <c r="F218" s="22" t="s"/>
      <c r="G218" s="22" t="s"/>
      <c r="H218" s="22" t="s"/>
      <c r="I218" s="22" t="s"/>
      <c r="J218" s="22" t="s"/>
      <c r="K218" s="22" t="s"/>
      <c r="L218" s="22" t="s"/>
      <c r="M218" s="22" t="s"/>
      <c r="N218" s="22" t="s"/>
      <c r="O218" s="22" t="s"/>
      <c r="P218" s="22" t="s"/>
      <c r="Q218" s="22" t="s"/>
      <c r="R218" s="22" t="s"/>
      <c r="S218" s="22" t="s"/>
      <c r="T218" s="22" t="s"/>
      <c r="U218" s="22" t="s"/>
      <c r="V218" s="22" t="s"/>
      <c r="W218" s="22" t="s"/>
      <c r="X218" s="22" t="s"/>
      <c r="Y218" s="22" t="s"/>
      <c r="Z218" s="22" t="s"/>
    </row>
    <row r="219" spans="1:26" ht="16.8" customHeight="true">
      <c r="A219" s="232" t="s"/>
      <c r="B219" s="30" t="s"/>
      <c r="C219" s="30" t="s"/>
      <c r="D219" s="30" t="s"/>
      <c r="E219" s="31" t="s"/>
      <c r="F219" s="22" t="s"/>
      <c r="G219" s="22" t="s"/>
      <c r="H219" s="22" t="s"/>
      <c r="I219" s="22" t="s"/>
      <c r="J219" s="22" t="s"/>
      <c r="K219" s="22" t="s"/>
      <c r="L219" s="22" t="s"/>
      <c r="M219" s="22" t="s"/>
      <c r="N219" s="22" t="s"/>
      <c r="O219" s="22" t="s"/>
      <c r="P219" s="22" t="s"/>
      <c r="Q219" s="22" t="s"/>
      <c r="R219" s="22" t="s"/>
      <c r="S219" s="22" t="s"/>
      <c r="T219" s="22" t="s"/>
      <c r="U219" s="22" t="s"/>
      <c r="V219" s="22" t="s"/>
      <c r="W219" s="22" t="s"/>
      <c r="X219" s="22" t="s"/>
      <c r="Y219" s="22" t="s"/>
      <c r="Z219" s="22" t="s"/>
    </row>
    <row r="220" spans="1:26" ht="16.8" customHeight="true">
      <c r="A220" s="232" t="s"/>
      <c r="B220" s="30" t="s"/>
      <c r="C220" s="30" t="s"/>
      <c r="D220" s="30" t="s"/>
      <c r="E220" s="31" t="s"/>
      <c r="F220" s="22" t="s"/>
      <c r="G220" s="22" t="s"/>
      <c r="H220" s="22" t="s"/>
      <c r="I220" s="22" t="s"/>
      <c r="J220" s="22" t="s"/>
      <c r="K220" s="22" t="s"/>
      <c r="L220" s="22" t="s"/>
      <c r="M220" s="22" t="s"/>
      <c r="N220" s="22" t="s"/>
      <c r="O220" s="22" t="s"/>
      <c r="P220" s="22" t="s"/>
      <c r="Q220" s="22" t="s"/>
      <c r="R220" s="22" t="s"/>
      <c r="S220" s="22" t="s"/>
      <c r="T220" s="22" t="s"/>
      <c r="U220" s="22" t="s"/>
      <c r="V220" s="22" t="s"/>
      <c r="W220" s="22" t="s"/>
      <c r="X220" s="22" t="s"/>
      <c r="Y220" s="22" t="s"/>
      <c r="Z220" s="22" t="s"/>
    </row>
    <row r="221" spans="1:26" ht="16.8" customHeight="true">
      <c r="A221" s="232" t="s"/>
      <c r="B221" s="30" t="s"/>
      <c r="C221" s="30" t="s"/>
      <c r="D221" s="30" t="s"/>
      <c r="E221" s="31" t="s"/>
      <c r="F221" s="22" t="s"/>
      <c r="G221" s="22" t="s"/>
      <c r="H221" s="22" t="s"/>
      <c r="I221" s="22" t="s"/>
      <c r="J221" s="22" t="s"/>
      <c r="K221" s="22" t="s"/>
      <c r="L221" s="22" t="s"/>
      <c r="M221" s="22" t="s"/>
      <c r="N221" s="22" t="s"/>
      <c r="O221" s="22" t="s"/>
      <c r="P221" s="22" t="s"/>
      <c r="Q221" s="22" t="s"/>
      <c r="R221" s="22" t="s"/>
      <c r="S221" s="22" t="s"/>
      <c r="T221" s="22" t="s"/>
      <c r="U221" s="22" t="s"/>
      <c r="V221" s="22" t="s"/>
      <c r="W221" s="22" t="s"/>
      <c r="X221" s="22" t="s"/>
      <c r="Y221" s="22" t="s"/>
      <c r="Z221" s="22" t="s"/>
    </row>
    <row r="222" spans="1:26" ht="16.8" customHeight="true">
      <c r="A222" s="232" t="s"/>
      <c r="B222" s="30" t="s"/>
      <c r="C222" s="30" t="s"/>
      <c r="D222" s="30" t="s"/>
      <c r="E222" s="31" t="s"/>
      <c r="F222" s="22" t="s"/>
      <c r="G222" s="22" t="s"/>
      <c r="H222" s="22" t="s"/>
      <c r="I222" s="22" t="s"/>
      <c r="J222" s="22" t="s"/>
      <c r="K222" s="22" t="s"/>
      <c r="L222" s="22" t="s"/>
      <c r="M222" s="22" t="s"/>
      <c r="N222" s="22" t="s"/>
      <c r="O222" s="22" t="s"/>
      <c r="P222" s="22" t="s"/>
      <c r="Q222" s="22" t="s"/>
      <c r="R222" s="22" t="s"/>
      <c r="S222" s="22" t="s"/>
      <c r="T222" s="22" t="s"/>
      <c r="U222" s="22" t="s"/>
      <c r="V222" s="22" t="s"/>
      <c r="W222" s="22" t="s"/>
      <c r="X222" s="22" t="s"/>
      <c r="Y222" s="22" t="s"/>
      <c r="Z222" s="22" t="s"/>
    </row>
    <row r="223" spans="1:26" ht="16.8" customHeight="true">
      <c r="A223" s="232" t="s"/>
      <c r="B223" s="30" t="s"/>
      <c r="C223" s="30" t="s"/>
      <c r="D223" s="30" t="s"/>
      <c r="E223" s="31" t="s"/>
      <c r="F223" s="22" t="s"/>
      <c r="G223" s="22" t="s"/>
      <c r="H223" s="22" t="s"/>
      <c r="I223" s="22" t="s"/>
      <c r="J223" s="22" t="s"/>
      <c r="K223" s="22" t="s"/>
      <c r="L223" s="22" t="s"/>
      <c r="M223" s="22" t="s"/>
      <c r="N223" s="22" t="s"/>
      <c r="O223" s="22" t="s"/>
      <c r="P223" s="22" t="s"/>
      <c r="Q223" s="22" t="s"/>
      <c r="R223" s="22" t="s"/>
      <c r="S223" s="22" t="s"/>
      <c r="T223" s="22" t="s"/>
      <c r="U223" s="22" t="s"/>
      <c r="V223" s="22" t="s"/>
      <c r="W223" s="22" t="s"/>
      <c r="X223" s="22" t="s"/>
      <c r="Y223" s="22" t="s"/>
      <c r="Z223" s="22" t="s"/>
    </row>
    <row r="224" spans="1:26" ht="16.8" customHeight="true">
      <c r="A224" s="232" t="s"/>
      <c r="B224" s="30" t="s"/>
      <c r="C224" s="30" t="s"/>
      <c r="D224" s="30" t="s"/>
      <c r="E224" s="31" t="s"/>
      <c r="F224" s="22" t="s"/>
      <c r="G224" s="22" t="s"/>
      <c r="H224" s="22" t="s"/>
      <c r="I224" s="22" t="s"/>
      <c r="J224" s="22" t="s"/>
      <c r="K224" s="22" t="s"/>
      <c r="L224" s="22" t="s"/>
      <c r="M224" s="22" t="s"/>
      <c r="N224" s="22" t="s"/>
      <c r="O224" s="22" t="s"/>
      <c r="P224" s="22" t="s"/>
      <c r="Q224" s="22" t="s"/>
      <c r="R224" s="22" t="s"/>
      <c r="S224" s="22" t="s"/>
      <c r="T224" s="22" t="s"/>
      <c r="U224" s="22" t="s"/>
      <c r="V224" s="22" t="s"/>
      <c r="W224" s="22" t="s"/>
      <c r="X224" s="22" t="s"/>
      <c r="Y224" s="22" t="s"/>
      <c r="Z224" s="22" t="s"/>
    </row>
    <row r="225" spans="1:26" ht="16.8" customHeight="true">
      <c r="A225" s="232" t="s"/>
      <c r="B225" s="30" t="s"/>
      <c r="C225" s="30" t="s"/>
      <c r="D225" s="30" t="s"/>
      <c r="E225" s="31" t="s"/>
      <c r="F225" s="22" t="s"/>
      <c r="G225" s="22" t="s"/>
      <c r="H225" s="22" t="s"/>
      <c r="I225" s="22" t="s"/>
      <c r="J225" s="22" t="s"/>
      <c r="K225" s="22" t="s"/>
      <c r="L225" s="22" t="s"/>
      <c r="M225" s="22" t="s"/>
      <c r="N225" s="22" t="s"/>
      <c r="O225" s="22" t="s"/>
      <c r="P225" s="22" t="s"/>
      <c r="Q225" s="22" t="s"/>
      <c r="R225" s="22" t="s"/>
      <c r="S225" s="22" t="s"/>
      <c r="T225" s="22" t="s"/>
      <c r="U225" s="22" t="s"/>
      <c r="V225" s="22" t="s"/>
      <c r="W225" s="22" t="s"/>
      <c r="X225" s="22" t="s"/>
      <c r="Y225" s="22" t="s"/>
      <c r="Z225" s="22" t="s"/>
    </row>
    <row r="226" spans="1:26" ht="16.8" customHeight="true">
      <c r="A226" s="232" t="s"/>
      <c r="B226" s="30" t="s"/>
      <c r="C226" s="30" t="s"/>
      <c r="D226" s="30" t="s"/>
      <c r="E226" s="31" t="s"/>
      <c r="F226" s="22" t="s"/>
      <c r="G226" s="22" t="s"/>
      <c r="H226" s="22" t="s"/>
      <c r="I226" s="22" t="s"/>
      <c r="J226" s="22" t="s"/>
      <c r="K226" s="22" t="s"/>
      <c r="L226" s="22" t="s"/>
      <c r="M226" s="22" t="s"/>
      <c r="N226" s="22" t="s"/>
      <c r="O226" s="22" t="s"/>
      <c r="P226" s="22" t="s"/>
      <c r="Q226" s="22" t="s"/>
      <c r="R226" s="22" t="s"/>
      <c r="S226" s="22" t="s"/>
      <c r="T226" s="22" t="s"/>
      <c r="U226" s="22" t="s"/>
      <c r="V226" s="22" t="s"/>
      <c r="W226" s="22" t="s"/>
      <c r="X226" s="22" t="s"/>
      <c r="Y226" s="22" t="s"/>
      <c r="Z226" s="22" t="s"/>
    </row>
    <row r="227" spans="1:26" ht="16.8" customHeight="true">
      <c r="A227" s="232" t="s"/>
      <c r="B227" s="30" t="s"/>
      <c r="C227" s="30" t="s"/>
      <c r="D227" s="30" t="s"/>
      <c r="E227" s="31" t="s"/>
      <c r="F227" s="22" t="s"/>
      <c r="G227" s="22" t="s"/>
      <c r="H227" s="22" t="s"/>
      <c r="I227" s="22" t="s"/>
      <c r="J227" s="22" t="s"/>
      <c r="K227" s="22" t="s"/>
      <c r="L227" s="22" t="s"/>
      <c r="M227" s="22" t="s"/>
      <c r="N227" s="22" t="s"/>
      <c r="O227" s="22" t="s"/>
      <c r="P227" s="22" t="s"/>
      <c r="Q227" s="22" t="s"/>
      <c r="R227" s="22" t="s"/>
      <c r="S227" s="22" t="s"/>
      <c r="T227" s="22" t="s"/>
      <c r="U227" s="22" t="s"/>
      <c r="V227" s="22" t="s"/>
      <c r="W227" s="22" t="s"/>
      <c r="X227" s="22" t="s"/>
      <c r="Y227" s="22" t="s"/>
      <c r="Z227" s="22" t="s"/>
    </row>
    <row r="228" spans="1:26" ht="16.8" customHeight="true">
      <c r="A228" s="232" t="s"/>
      <c r="B228" s="30" t="s"/>
      <c r="C228" s="30" t="s"/>
      <c r="D228" s="30" t="s"/>
      <c r="E228" s="31" t="s"/>
      <c r="F228" s="22" t="s"/>
      <c r="G228" s="22" t="s"/>
      <c r="H228" s="22" t="s"/>
      <c r="I228" s="22" t="s"/>
      <c r="J228" s="22" t="s"/>
      <c r="K228" s="22" t="s"/>
      <c r="L228" s="22" t="s"/>
      <c r="M228" s="22" t="s"/>
      <c r="N228" s="22" t="s"/>
      <c r="O228" s="22" t="s"/>
      <c r="P228" s="22" t="s"/>
      <c r="Q228" s="22" t="s"/>
      <c r="R228" s="22" t="s"/>
      <c r="S228" s="22" t="s"/>
      <c r="T228" s="22" t="s"/>
      <c r="U228" s="22" t="s"/>
      <c r="V228" s="22" t="s"/>
      <c r="W228" s="22" t="s"/>
      <c r="X228" s="22" t="s"/>
      <c r="Y228" s="22" t="s"/>
      <c r="Z228" s="22" t="s"/>
    </row>
    <row r="229" spans="1:26" ht="16.8" customHeight="true">
      <c r="A229" s="232" t="s"/>
      <c r="B229" s="30" t="s"/>
      <c r="C229" s="30" t="s"/>
      <c r="D229" s="30" t="s"/>
      <c r="E229" s="31" t="s"/>
      <c r="F229" s="22" t="s"/>
      <c r="G229" s="22" t="s"/>
      <c r="H229" s="22" t="s"/>
      <c r="I229" s="22" t="s"/>
      <c r="J229" s="22" t="s"/>
      <c r="K229" s="22" t="s"/>
      <c r="L229" s="22" t="s"/>
      <c r="M229" s="22" t="s"/>
      <c r="N229" s="22" t="s"/>
      <c r="O229" s="22" t="s"/>
      <c r="P229" s="22" t="s"/>
      <c r="Q229" s="22" t="s"/>
      <c r="R229" s="22" t="s"/>
      <c r="S229" s="22" t="s"/>
      <c r="T229" s="22" t="s"/>
      <c r="U229" s="22" t="s"/>
      <c r="V229" s="22" t="s"/>
      <c r="W229" s="22" t="s"/>
      <c r="X229" s="22" t="s"/>
      <c r="Y229" s="22" t="s"/>
      <c r="Z229" s="22" t="s"/>
    </row>
    <row r="230" spans="1:26" ht="16.8" customHeight="true">
      <c r="A230" s="232" t="s"/>
      <c r="B230" s="30" t="s"/>
      <c r="C230" s="30" t="s"/>
      <c r="D230" s="30" t="s"/>
      <c r="E230" s="31" t="s"/>
      <c r="F230" s="22" t="s"/>
      <c r="G230" s="22" t="s"/>
      <c r="H230" s="22" t="s"/>
      <c r="I230" s="22" t="s"/>
      <c r="J230" s="22" t="s"/>
      <c r="K230" s="22" t="s"/>
      <c r="L230" s="22" t="s"/>
      <c r="M230" s="22" t="s"/>
      <c r="N230" s="22" t="s"/>
      <c r="O230" s="22" t="s"/>
      <c r="P230" s="22" t="s"/>
      <c r="Q230" s="22" t="s"/>
      <c r="R230" s="22" t="s"/>
      <c r="S230" s="22" t="s"/>
      <c r="T230" s="22" t="s"/>
      <c r="U230" s="22" t="s"/>
      <c r="V230" s="22" t="s"/>
      <c r="W230" s="22" t="s"/>
      <c r="X230" s="22" t="s"/>
      <c r="Y230" s="22" t="s"/>
      <c r="Z230" s="22" t="s"/>
    </row>
    <row r="231" spans="1:26" ht="16.8" customHeight="true">
      <c r="A231" s="232" t="s"/>
      <c r="B231" s="30" t="s"/>
      <c r="C231" s="30" t="s"/>
      <c r="D231" s="30" t="s"/>
      <c r="E231" s="31" t="s"/>
      <c r="F231" s="22" t="s"/>
      <c r="G231" s="22" t="s"/>
      <c r="H231" s="22" t="s"/>
      <c r="I231" s="22" t="s"/>
      <c r="J231" s="22" t="s"/>
      <c r="K231" s="22" t="s"/>
      <c r="L231" s="22" t="s"/>
      <c r="M231" s="22" t="s"/>
      <c r="N231" s="22" t="s"/>
      <c r="O231" s="22" t="s"/>
      <c r="P231" s="22" t="s"/>
      <c r="Q231" s="22" t="s"/>
      <c r="R231" s="22" t="s"/>
      <c r="S231" s="22" t="s"/>
      <c r="T231" s="22" t="s"/>
      <c r="U231" s="22" t="s"/>
      <c r="V231" s="22" t="s"/>
      <c r="W231" s="22" t="s"/>
      <c r="X231" s="22" t="s"/>
      <c r="Y231" s="22" t="s"/>
      <c r="Z231" s="22" t="s"/>
    </row>
    <row r="232" spans="1:26" ht="16.8" customHeight="true">
      <c r="A232" s="232" t="s"/>
      <c r="B232" s="30" t="s"/>
      <c r="C232" s="30" t="s"/>
      <c r="D232" s="30" t="s"/>
      <c r="E232" s="31" t="s"/>
      <c r="F232" s="22" t="s"/>
      <c r="G232" s="22" t="s"/>
      <c r="H232" s="22" t="s"/>
      <c r="I232" s="22" t="s"/>
      <c r="J232" s="22" t="s"/>
      <c r="K232" s="22" t="s"/>
      <c r="L232" s="22" t="s"/>
      <c r="M232" s="22" t="s"/>
      <c r="N232" s="22" t="s"/>
      <c r="O232" s="22" t="s"/>
      <c r="P232" s="22" t="s"/>
      <c r="Q232" s="22" t="s"/>
      <c r="R232" s="22" t="s"/>
      <c r="S232" s="22" t="s"/>
      <c r="T232" s="22" t="s"/>
      <c r="U232" s="22" t="s"/>
      <c r="V232" s="22" t="s"/>
      <c r="W232" s="22" t="s"/>
      <c r="X232" s="22" t="s"/>
      <c r="Y232" s="22" t="s"/>
      <c r="Z232" s="22" t="s"/>
    </row>
    <row r="233" spans="1:26" ht="16.8" customHeight="true">
      <c r="A233" s="232" t="s"/>
      <c r="B233" s="30" t="s"/>
      <c r="C233" s="30" t="s"/>
      <c r="D233" s="30" t="s"/>
      <c r="E233" s="31" t="s"/>
      <c r="F233" s="22" t="s"/>
      <c r="G233" s="22" t="s"/>
      <c r="H233" s="22" t="s"/>
      <c r="I233" s="22" t="s"/>
      <c r="J233" s="22" t="s"/>
      <c r="K233" s="22" t="s"/>
      <c r="L233" s="22" t="s"/>
      <c r="M233" s="22" t="s"/>
      <c r="N233" s="22" t="s"/>
      <c r="O233" s="22" t="s"/>
      <c r="P233" s="22" t="s"/>
      <c r="Q233" s="22" t="s"/>
      <c r="R233" s="22" t="s"/>
      <c r="S233" s="22" t="s"/>
      <c r="T233" s="22" t="s"/>
      <c r="U233" s="22" t="s"/>
      <c r="V233" s="22" t="s"/>
      <c r="W233" s="22" t="s"/>
      <c r="X233" s="22" t="s"/>
      <c r="Y233" s="22" t="s"/>
      <c r="Z233" s="22" t="s"/>
    </row>
    <row r="234" spans="1:26" ht="16.8" customHeight="true">
      <c r="A234" s="232" t="s"/>
      <c r="B234" s="30" t="s"/>
      <c r="C234" s="30" t="s"/>
      <c r="D234" s="30" t="s"/>
      <c r="E234" s="31" t="s"/>
      <c r="F234" s="22" t="s"/>
      <c r="G234" s="22" t="s"/>
      <c r="H234" s="22" t="s"/>
      <c r="I234" s="22" t="s"/>
      <c r="J234" s="22" t="s"/>
      <c r="K234" s="22" t="s"/>
      <c r="L234" s="22" t="s"/>
      <c r="M234" s="22" t="s"/>
      <c r="N234" s="22" t="s"/>
      <c r="O234" s="22" t="s"/>
      <c r="P234" s="22" t="s"/>
      <c r="Q234" s="22" t="s"/>
      <c r="R234" s="22" t="s"/>
      <c r="S234" s="22" t="s"/>
      <c r="T234" s="22" t="s"/>
      <c r="U234" s="22" t="s"/>
      <c r="V234" s="22" t="s"/>
      <c r="W234" s="22" t="s"/>
      <c r="X234" s="22" t="s"/>
      <c r="Y234" s="22" t="s"/>
      <c r="Z234" s="22" t="s"/>
    </row>
    <row r="235" spans="1:26" ht="16.8" customHeight="true">
      <c r="A235" s="232" t="s"/>
      <c r="B235" s="30" t="s"/>
      <c r="C235" s="30" t="s"/>
      <c r="D235" s="30" t="s"/>
      <c r="E235" s="31" t="s"/>
      <c r="F235" s="22" t="s"/>
      <c r="G235" s="22" t="s"/>
      <c r="H235" s="22" t="s"/>
      <c r="I235" s="22" t="s"/>
      <c r="J235" s="22" t="s"/>
      <c r="K235" s="22" t="s"/>
      <c r="L235" s="22" t="s"/>
      <c r="M235" s="22" t="s"/>
      <c r="N235" s="22" t="s"/>
      <c r="O235" s="22" t="s"/>
      <c r="P235" s="22" t="s"/>
      <c r="Q235" s="22" t="s"/>
      <c r="R235" s="22" t="s"/>
      <c r="S235" s="22" t="s"/>
      <c r="T235" s="22" t="s"/>
      <c r="U235" s="22" t="s"/>
      <c r="V235" s="22" t="s"/>
      <c r="W235" s="22" t="s"/>
      <c r="X235" s="22" t="s"/>
      <c r="Y235" s="22" t="s"/>
      <c r="Z235" s="22" t="s"/>
    </row>
    <row r="236" spans="1:26" ht="16.8" customHeight="true">
      <c r="A236" s="232" t="s"/>
      <c r="B236" s="30" t="s"/>
      <c r="C236" s="30" t="s"/>
      <c r="D236" s="30" t="s"/>
      <c r="E236" s="31" t="s"/>
      <c r="F236" s="22" t="s"/>
      <c r="G236" s="22" t="s"/>
      <c r="H236" s="22" t="s"/>
      <c r="I236" s="22" t="s"/>
      <c r="J236" s="22" t="s"/>
      <c r="K236" s="22" t="s"/>
      <c r="L236" s="22" t="s"/>
      <c r="M236" s="22" t="s"/>
      <c r="N236" s="22" t="s"/>
      <c r="O236" s="22" t="s"/>
      <c r="P236" s="22" t="s"/>
      <c r="Q236" s="22" t="s"/>
      <c r="R236" s="22" t="s"/>
      <c r="S236" s="22" t="s"/>
      <c r="T236" s="22" t="s"/>
      <c r="U236" s="22" t="s"/>
      <c r="V236" s="22" t="s"/>
      <c r="W236" s="22" t="s"/>
      <c r="X236" s="22" t="s"/>
      <c r="Y236" s="22" t="s"/>
      <c r="Z236" s="22" t="s"/>
    </row>
    <row r="237" spans="1:26" ht="16.8" customHeight="true">
      <c r="A237" s="232" t="s"/>
      <c r="B237" s="30" t="s"/>
      <c r="C237" s="30" t="s"/>
      <c r="D237" s="30" t="s"/>
      <c r="E237" s="31" t="s"/>
      <c r="F237" s="22" t="s"/>
      <c r="G237" s="22" t="s"/>
      <c r="H237" s="22" t="s"/>
      <c r="I237" s="22" t="s"/>
      <c r="J237" s="22" t="s"/>
      <c r="K237" s="22" t="s"/>
      <c r="L237" s="22" t="s"/>
      <c r="M237" s="22" t="s"/>
      <c r="N237" s="22" t="s"/>
      <c r="O237" s="22" t="s"/>
      <c r="P237" s="22" t="s"/>
      <c r="Q237" s="22" t="s"/>
      <c r="R237" s="22" t="s"/>
      <c r="S237" s="22" t="s"/>
      <c r="T237" s="22" t="s"/>
      <c r="U237" s="22" t="s"/>
      <c r="V237" s="22" t="s"/>
      <c r="W237" s="22" t="s"/>
      <c r="X237" s="22" t="s"/>
      <c r="Y237" s="22" t="s"/>
      <c r="Z237" s="22" t="s"/>
    </row>
    <row r="238" spans="1:26" ht="16.8" customHeight="true">
      <c r="A238" s="232" t="s"/>
      <c r="B238" s="30" t="s"/>
      <c r="C238" s="30" t="s"/>
      <c r="D238" s="30" t="s"/>
      <c r="E238" s="31" t="s"/>
      <c r="F238" s="22" t="s"/>
      <c r="G238" s="22" t="s"/>
      <c r="H238" s="22" t="s"/>
      <c r="I238" s="22" t="s"/>
      <c r="J238" s="22" t="s"/>
      <c r="K238" s="22" t="s"/>
      <c r="L238" s="22" t="s"/>
      <c r="M238" s="22" t="s"/>
      <c r="N238" s="22" t="s"/>
      <c r="O238" s="22" t="s"/>
      <c r="P238" s="22" t="s"/>
      <c r="Q238" s="22" t="s"/>
      <c r="R238" s="22" t="s"/>
      <c r="S238" s="22" t="s"/>
      <c r="T238" s="22" t="s"/>
      <c r="U238" s="22" t="s"/>
      <c r="V238" s="22" t="s"/>
      <c r="W238" s="22" t="s"/>
      <c r="X238" s="22" t="s"/>
      <c r="Y238" s="22" t="s"/>
      <c r="Z238" s="22" t="s"/>
    </row>
    <row r="239" spans="1:26" ht="16.8" customHeight="true">
      <c r="A239" s="232" t="s"/>
      <c r="B239" s="30" t="s"/>
      <c r="C239" s="30" t="s"/>
      <c r="D239" s="30" t="s"/>
      <c r="E239" s="31" t="s"/>
      <c r="F239" s="22" t="s"/>
      <c r="G239" s="22" t="s"/>
      <c r="H239" s="22" t="s"/>
      <c r="I239" s="22" t="s"/>
      <c r="J239" s="22" t="s"/>
      <c r="K239" s="22" t="s"/>
      <c r="L239" s="22" t="s"/>
      <c r="M239" s="22" t="s"/>
      <c r="N239" s="22" t="s"/>
      <c r="O239" s="22" t="s"/>
      <c r="P239" s="22" t="s"/>
      <c r="Q239" s="22" t="s"/>
      <c r="R239" s="22" t="s"/>
      <c r="S239" s="22" t="s"/>
      <c r="T239" s="22" t="s"/>
      <c r="U239" s="22" t="s"/>
      <c r="V239" s="22" t="s"/>
      <c r="W239" s="22" t="s"/>
      <c r="X239" s="22" t="s"/>
      <c r="Y239" s="22" t="s"/>
      <c r="Z239" s="22" t="s"/>
    </row>
    <row r="240" spans="1:26" ht="16.8" customHeight="true">
      <c r="A240" s="232" t="s"/>
      <c r="B240" s="30" t="s"/>
      <c r="C240" s="30" t="s"/>
      <c r="D240" s="30" t="s"/>
      <c r="E240" s="31" t="s"/>
      <c r="F240" s="22" t="s"/>
      <c r="G240" s="22" t="s"/>
      <c r="H240" s="22" t="s"/>
      <c r="I240" s="22" t="s"/>
      <c r="J240" s="22" t="s"/>
      <c r="K240" s="22" t="s"/>
      <c r="L240" s="22" t="s"/>
      <c r="M240" s="22" t="s"/>
      <c r="N240" s="22" t="s"/>
      <c r="O240" s="22" t="s"/>
      <c r="P240" s="22" t="s"/>
      <c r="Q240" s="22" t="s"/>
      <c r="R240" s="22" t="s"/>
      <c r="S240" s="22" t="s"/>
      <c r="T240" s="22" t="s"/>
      <c r="U240" s="22" t="s"/>
      <c r="V240" s="22" t="s"/>
      <c r="W240" s="22" t="s"/>
      <c r="X240" s="22" t="s"/>
      <c r="Y240" s="22" t="s"/>
      <c r="Z240" s="22" t="s"/>
    </row>
    <row r="241" spans="1:26" ht="16.8" customHeight="true">
      <c r="A241" s="232" t="s"/>
      <c r="B241" s="30" t="s"/>
      <c r="C241" s="30" t="s"/>
      <c r="D241" s="30" t="s"/>
      <c r="E241" s="31" t="s"/>
      <c r="F241" s="22" t="s"/>
      <c r="G241" s="22" t="s"/>
      <c r="H241" s="22" t="s"/>
      <c r="I241" s="22" t="s"/>
      <c r="J241" s="22" t="s"/>
      <c r="K241" s="22" t="s"/>
      <c r="L241" s="22" t="s"/>
      <c r="M241" s="22" t="s"/>
      <c r="N241" s="22" t="s"/>
      <c r="O241" s="22" t="s"/>
      <c r="P241" s="22" t="s"/>
      <c r="Q241" s="22" t="s"/>
      <c r="R241" s="22" t="s"/>
      <c r="S241" s="22" t="s"/>
      <c r="T241" s="22" t="s"/>
      <c r="U241" s="22" t="s"/>
      <c r="V241" s="22" t="s"/>
      <c r="W241" s="22" t="s"/>
      <c r="X241" s="22" t="s"/>
      <c r="Y241" s="22" t="s"/>
      <c r="Z241" s="22" t="s"/>
    </row>
    <row r="242" spans="1:26" ht="16.8" customHeight="true">
      <c r="A242" s="232" t="s"/>
      <c r="B242" s="30" t="s"/>
      <c r="C242" s="30" t="s"/>
      <c r="D242" s="30" t="s"/>
      <c r="E242" s="31" t="s"/>
      <c r="F242" s="22" t="s"/>
      <c r="G242" s="22" t="s"/>
      <c r="H242" s="22" t="s"/>
      <c r="I242" s="22" t="s"/>
      <c r="J242" s="22" t="s"/>
      <c r="K242" s="22" t="s"/>
      <c r="L242" s="22" t="s"/>
      <c r="M242" s="22" t="s"/>
      <c r="N242" s="22" t="s"/>
      <c r="O242" s="22" t="s"/>
      <c r="P242" s="22" t="s"/>
      <c r="Q242" s="22" t="s"/>
      <c r="R242" s="22" t="s"/>
      <c r="S242" s="22" t="s"/>
      <c r="T242" s="22" t="s"/>
      <c r="U242" s="22" t="s"/>
      <c r="V242" s="22" t="s"/>
      <c r="W242" s="22" t="s"/>
      <c r="X242" s="22" t="s"/>
      <c r="Y242" s="22" t="s"/>
      <c r="Z242" s="22" t="s"/>
    </row>
    <row r="243" spans="1:26" ht="16.8" customHeight="true">
      <c r="A243" s="232" t="s"/>
      <c r="B243" s="30" t="s"/>
      <c r="C243" s="30" t="s"/>
      <c r="D243" s="30" t="s"/>
      <c r="E243" s="31" t="s"/>
      <c r="F243" s="22" t="s"/>
      <c r="G243" s="22" t="s"/>
      <c r="H243" s="22" t="s"/>
      <c r="I243" s="22" t="s"/>
      <c r="J243" s="22" t="s"/>
      <c r="K243" s="22" t="s"/>
      <c r="L243" s="22" t="s"/>
      <c r="M243" s="22" t="s"/>
      <c r="N243" s="22" t="s"/>
      <c r="O243" s="22" t="s"/>
      <c r="P243" s="22" t="s"/>
      <c r="Q243" s="22" t="s"/>
      <c r="R243" s="22" t="s"/>
      <c r="S243" s="22" t="s"/>
      <c r="T243" s="22" t="s"/>
      <c r="U243" s="22" t="s"/>
      <c r="V243" s="22" t="s"/>
      <c r="W243" s="22" t="s"/>
      <c r="X243" s="22" t="s"/>
      <c r="Y243" s="22" t="s"/>
      <c r="Z243" s="22" t="s"/>
    </row>
    <row r="244" spans="1:26" ht="16.8" customHeight="true">
      <c r="A244" s="232" t="s"/>
      <c r="B244" s="30" t="s"/>
      <c r="C244" s="30" t="s"/>
      <c r="D244" s="30" t="s"/>
      <c r="E244" s="31" t="s"/>
      <c r="F244" s="22" t="s"/>
      <c r="G244" s="22" t="s"/>
      <c r="H244" s="22" t="s"/>
      <c r="I244" s="22" t="s"/>
      <c r="J244" s="22" t="s"/>
      <c r="K244" s="22" t="s"/>
      <c r="L244" s="22" t="s"/>
      <c r="M244" s="22" t="s"/>
      <c r="N244" s="22" t="s"/>
      <c r="O244" s="22" t="s"/>
      <c r="P244" s="22" t="s"/>
      <c r="Q244" s="22" t="s"/>
      <c r="R244" s="22" t="s"/>
      <c r="S244" s="22" t="s"/>
      <c r="T244" s="22" t="s"/>
      <c r="U244" s="22" t="s"/>
      <c r="V244" s="22" t="s"/>
      <c r="W244" s="22" t="s"/>
      <c r="X244" s="22" t="s"/>
      <c r="Y244" s="22" t="s"/>
      <c r="Z244" s="22" t="s"/>
    </row>
    <row r="245" spans="1:26" ht="16.8" customHeight="true">
      <c r="A245" s="232" t="s"/>
      <c r="B245" s="30" t="s"/>
      <c r="C245" s="30" t="s"/>
      <c r="D245" s="30" t="s"/>
      <c r="E245" s="31" t="s"/>
      <c r="F245" s="22" t="s"/>
      <c r="G245" s="22" t="s"/>
      <c r="H245" s="22" t="s"/>
      <c r="I245" s="22" t="s"/>
      <c r="J245" s="22" t="s"/>
      <c r="K245" s="22" t="s"/>
      <c r="L245" s="22" t="s"/>
      <c r="M245" s="22" t="s"/>
      <c r="N245" s="22" t="s"/>
      <c r="O245" s="22" t="s"/>
      <c r="P245" s="22" t="s"/>
      <c r="Q245" s="22" t="s"/>
      <c r="R245" s="22" t="s"/>
      <c r="S245" s="22" t="s"/>
      <c r="T245" s="22" t="s"/>
      <c r="U245" s="22" t="s"/>
      <c r="V245" s="22" t="s"/>
      <c r="W245" s="22" t="s"/>
      <c r="X245" s="22" t="s"/>
      <c r="Y245" s="22" t="s"/>
      <c r="Z245" s="22" t="s"/>
    </row>
    <row r="246" spans="1:26" ht="16.8" customHeight="true">
      <c r="A246" s="232" t="s"/>
      <c r="B246" s="30" t="s"/>
      <c r="C246" s="30" t="s"/>
      <c r="D246" s="30" t="s"/>
      <c r="E246" s="31" t="s"/>
      <c r="F246" s="22" t="s"/>
      <c r="G246" s="22" t="s"/>
      <c r="H246" s="22" t="s"/>
      <c r="I246" s="22" t="s"/>
      <c r="J246" s="22" t="s"/>
      <c r="K246" s="22" t="s"/>
      <c r="L246" s="22" t="s"/>
      <c r="M246" s="22" t="s"/>
      <c r="N246" s="22" t="s"/>
      <c r="O246" s="22" t="s"/>
      <c r="P246" s="22" t="s"/>
      <c r="Q246" s="22" t="s"/>
      <c r="R246" s="22" t="s"/>
      <c r="S246" s="22" t="s"/>
      <c r="T246" s="22" t="s"/>
      <c r="U246" s="22" t="s"/>
      <c r="V246" s="22" t="s"/>
      <c r="W246" s="22" t="s"/>
      <c r="X246" s="22" t="s"/>
      <c r="Y246" s="22" t="s"/>
      <c r="Z246" s="22" t="s"/>
    </row>
    <row r="247" spans="1:26" ht="16.8" customHeight="true">
      <c r="A247" s="232" t="s"/>
      <c r="B247" s="30" t="s"/>
      <c r="C247" s="30" t="s"/>
      <c r="D247" s="30" t="s"/>
      <c r="E247" s="31" t="s"/>
      <c r="F247" s="22" t="s"/>
      <c r="G247" s="22" t="s"/>
      <c r="H247" s="22" t="s"/>
      <c r="I247" s="22" t="s"/>
      <c r="J247" s="22" t="s"/>
      <c r="K247" s="22" t="s"/>
      <c r="L247" s="22" t="s"/>
      <c r="M247" s="22" t="s"/>
      <c r="N247" s="22" t="s"/>
      <c r="O247" s="22" t="s"/>
      <c r="P247" s="22" t="s"/>
      <c r="Q247" s="22" t="s"/>
      <c r="R247" s="22" t="s"/>
      <c r="S247" s="22" t="s"/>
      <c r="T247" s="22" t="s"/>
      <c r="U247" s="22" t="s"/>
      <c r="V247" s="22" t="s"/>
      <c r="W247" s="22" t="s"/>
      <c r="X247" s="22" t="s"/>
      <c r="Y247" s="22" t="s"/>
      <c r="Z247" s="22" t="s"/>
    </row>
    <row r="248" spans="1:26" ht="16.8" customHeight="true">
      <c r="A248" s="232" t="s"/>
      <c r="B248" s="30" t="s"/>
      <c r="C248" s="30" t="s"/>
      <c r="D248" s="30" t="s"/>
      <c r="E248" s="31" t="s"/>
      <c r="F248" s="22" t="s"/>
      <c r="G248" s="22" t="s"/>
      <c r="H248" s="22" t="s"/>
      <c r="I248" s="22" t="s"/>
      <c r="J248" s="22" t="s"/>
      <c r="K248" s="22" t="s"/>
      <c r="L248" s="22" t="s"/>
      <c r="M248" s="22" t="s"/>
      <c r="N248" s="22" t="s"/>
      <c r="O248" s="22" t="s"/>
      <c r="P248" s="22" t="s"/>
      <c r="Q248" s="22" t="s"/>
      <c r="R248" s="22" t="s"/>
      <c r="S248" s="22" t="s"/>
      <c r="T248" s="22" t="s"/>
      <c r="U248" s="22" t="s"/>
      <c r="V248" s="22" t="s"/>
      <c r="W248" s="22" t="s"/>
      <c r="X248" s="22" t="s"/>
      <c r="Y248" s="22" t="s"/>
      <c r="Z248" s="22" t="s"/>
    </row>
    <row r="249" spans="1:26" ht="16.8" customHeight="true">
      <c r="A249" s="232" t="s"/>
      <c r="B249" s="30" t="s"/>
      <c r="C249" s="30" t="s"/>
      <c r="D249" s="30" t="s"/>
      <c r="E249" s="31" t="s"/>
      <c r="F249" s="22" t="s"/>
      <c r="G249" s="22" t="s"/>
      <c r="H249" s="22" t="s"/>
      <c r="I249" s="22" t="s"/>
      <c r="J249" s="22" t="s"/>
      <c r="K249" s="22" t="s"/>
      <c r="L249" s="22" t="s"/>
      <c r="M249" s="22" t="s"/>
      <c r="N249" s="22" t="s"/>
      <c r="O249" s="22" t="s"/>
      <c r="P249" s="22" t="s"/>
      <c r="Q249" s="22" t="s"/>
      <c r="R249" s="22" t="s"/>
      <c r="S249" s="22" t="s"/>
      <c r="T249" s="22" t="s"/>
      <c r="U249" s="22" t="s"/>
      <c r="V249" s="22" t="s"/>
      <c r="W249" s="22" t="s"/>
      <c r="X249" s="22" t="s"/>
      <c r="Y249" s="22" t="s"/>
      <c r="Z249" s="22" t="s"/>
    </row>
    <row r="250" spans="1:26" ht="16.8" customHeight="true">
      <c r="A250" s="232" t="s"/>
      <c r="B250" s="30" t="s"/>
      <c r="C250" s="30" t="s"/>
      <c r="D250" s="30" t="s"/>
      <c r="E250" s="31" t="s"/>
      <c r="F250" s="22" t="s"/>
      <c r="G250" s="22" t="s"/>
      <c r="H250" s="22" t="s"/>
      <c r="I250" s="22" t="s"/>
      <c r="J250" s="22" t="s"/>
      <c r="K250" s="22" t="s"/>
      <c r="L250" s="22" t="s"/>
      <c r="M250" s="22" t="s"/>
      <c r="N250" s="22" t="s"/>
      <c r="O250" s="22" t="s"/>
      <c r="P250" s="22" t="s"/>
      <c r="Q250" s="22" t="s"/>
      <c r="R250" s="22" t="s"/>
      <c r="S250" s="22" t="s"/>
      <c r="T250" s="22" t="s"/>
      <c r="U250" s="22" t="s"/>
      <c r="V250" s="22" t="s"/>
      <c r="W250" s="22" t="s"/>
      <c r="X250" s="22" t="s"/>
      <c r="Y250" s="22" t="s"/>
      <c r="Z250" s="22" t="s"/>
    </row>
    <row r="251" spans="1:26" ht="16.8" customHeight="true">
      <c r="A251" s="232" t="s"/>
      <c r="B251" s="30" t="s"/>
      <c r="C251" s="30" t="s"/>
      <c r="D251" s="30" t="s"/>
      <c r="E251" s="31" t="s"/>
      <c r="F251" s="22" t="s"/>
      <c r="G251" s="22" t="s"/>
      <c r="H251" s="22" t="s"/>
      <c r="I251" s="22" t="s"/>
      <c r="J251" s="22" t="s"/>
      <c r="K251" s="22" t="s"/>
      <c r="L251" s="22" t="s"/>
      <c r="M251" s="22" t="s"/>
      <c r="N251" s="22" t="s"/>
      <c r="O251" s="22" t="s"/>
      <c r="P251" s="22" t="s"/>
      <c r="Q251" s="22" t="s"/>
      <c r="R251" s="22" t="s"/>
      <c r="S251" s="22" t="s"/>
      <c r="T251" s="22" t="s"/>
      <c r="U251" s="22" t="s"/>
      <c r="V251" s="22" t="s"/>
      <c r="W251" s="22" t="s"/>
      <c r="X251" s="22" t="s"/>
      <c r="Y251" s="22" t="s"/>
      <c r="Z251" s="22" t="s"/>
    </row>
    <row r="252" spans="1:26" ht="16.8" customHeight="true">
      <c r="A252" s="232" t="s"/>
      <c r="B252" s="30" t="s"/>
      <c r="C252" s="30" t="s"/>
      <c r="D252" s="30" t="s"/>
      <c r="E252" s="31" t="s"/>
      <c r="F252" s="22" t="s"/>
      <c r="G252" s="22" t="s"/>
      <c r="H252" s="22" t="s"/>
      <c r="I252" s="22" t="s"/>
      <c r="J252" s="22" t="s"/>
      <c r="K252" s="22" t="s"/>
      <c r="L252" s="22" t="s"/>
      <c r="M252" s="22" t="s"/>
      <c r="N252" s="22" t="s"/>
      <c r="O252" s="22" t="s"/>
      <c r="P252" s="22" t="s"/>
      <c r="Q252" s="22" t="s"/>
      <c r="R252" s="22" t="s"/>
      <c r="S252" s="22" t="s"/>
      <c r="T252" s="22" t="s"/>
      <c r="U252" s="22" t="s"/>
      <c r="V252" s="22" t="s"/>
      <c r="W252" s="22" t="s"/>
      <c r="X252" s="22" t="s"/>
      <c r="Y252" s="22" t="s"/>
      <c r="Z252" s="22" t="s"/>
    </row>
    <row r="253" spans="1:26" ht="16.8" customHeight="true">
      <c r="A253" s="232" t="s"/>
      <c r="B253" s="30" t="s"/>
      <c r="C253" s="30" t="s"/>
      <c r="D253" s="30" t="s"/>
      <c r="E253" s="31" t="s"/>
      <c r="F253" s="22" t="s"/>
      <c r="G253" s="22" t="s"/>
      <c r="H253" s="22" t="s"/>
      <c r="I253" s="22" t="s"/>
      <c r="J253" s="22" t="s"/>
      <c r="K253" s="22" t="s"/>
      <c r="L253" s="22" t="s"/>
      <c r="M253" s="22" t="s"/>
      <c r="N253" s="22" t="s"/>
      <c r="O253" s="22" t="s"/>
      <c r="P253" s="22" t="s"/>
      <c r="Q253" s="22" t="s"/>
      <c r="R253" s="22" t="s"/>
      <c r="S253" s="22" t="s"/>
      <c r="T253" s="22" t="s"/>
      <c r="U253" s="22" t="s"/>
      <c r="V253" s="22" t="s"/>
      <c r="W253" s="22" t="s"/>
      <c r="X253" s="22" t="s"/>
      <c r="Y253" s="22" t="s"/>
      <c r="Z253" s="22" t="s"/>
    </row>
    <row r="254" spans="1:26" ht="16.8" customHeight="true">
      <c r="A254" s="232" t="s"/>
      <c r="B254" s="30" t="s"/>
      <c r="C254" s="30" t="s"/>
      <c r="D254" s="30" t="s"/>
      <c r="E254" s="31" t="s"/>
      <c r="F254" s="22" t="s"/>
      <c r="G254" s="22" t="s"/>
      <c r="H254" s="22" t="s"/>
      <c r="I254" s="22" t="s"/>
      <c r="J254" s="22" t="s"/>
      <c r="K254" s="22" t="s"/>
      <c r="L254" s="22" t="s"/>
      <c r="M254" s="22" t="s"/>
      <c r="N254" s="22" t="s"/>
      <c r="O254" s="22" t="s"/>
      <c r="P254" s="22" t="s"/>
      <c r="Q254" s="22" t="s"/>
      <c r="R254" s="22" t="s"/>
      <c r="S254" s="22" t="s"/>
      <c r="T254" s="22" t="s"/>
      <c r="U254" s="22" t="s"/>
      <c r="V254" s="22" t="s"/>
      <c r="W254" s="22" t="s"/>
      <c r="X254" s="22" t="s"/>
      <c r="Y254" s="22" t="s"/>
      <c r="Z254" s="22" t="s"/>
    </row>
    <row r="255" spans="1:26" ht="16.8" customHeight="true">
      <c r="A255" s="232" t="s"/>
      <c r="B255" s="30" t="s"/>
      <c r="C255" s="30" t="s"/>
      <c r="D255" s="30" t="s"/>
      <c r="E255" s="31" t="s"/>
      <c r="F255" s="22" t="s"/>
      <c r="G255" s="22" t="s"/>
      <c r="H255" s="22" t="s"/>
      <c r="I255" s="22" t="s"/>
      <c r="J255" s="22" t="s"/>
      <c r="K255" s="22" t="s"/>
      <c r="L255" s="22" t="s"/>
      <c r="M255" s="22" t="s"/>
      <c r="N255" s="22" t="s"/>
      <c r="O255" s="22" t="s"/>
      <c r="P255" s="22" t="s"/>
      <c r="Q255" s="22" t="s"/>
      <c r="R255" s="22" t="s"/>
      <c r="S255" s="22" t="s"/>
      <c r="T255" s="22" t="s"/>
      <c r="U255" s="22" t="s"/>
      <c r="V255" s="22" t="s"/>
      <c r="W255" s="22" t="s"/>
      <c r="X255" s="22" t="s"/>
      <c r="Y255" s="22" t="s"/>
      <c r="Z255" s="22" t="s"/>
    </row>
    <row r="256" spans="1:26" ht="16.8" customHeight="true">
      <c r="A256" s="232" t="s"/>
      <c r="B256" s="30" t="s"/>
      <c r="C256" s="30" t="s"/>
      <c r="D256" s="30" t="s"/>
      <c r="E256" s="31" t="s"/>
      <c r="F256" s="22" t="s"/>
      <c r="G256" s="22" t="s"/>
      <c r="H256" s="22" t="s"/>
      <c r="I256" s="22" t="s"/>
      <c r="J256" s="22" t="s"/>
      <c r="K256" s="22" t="s"/>
      <c r="L256" s="22" t="s"/>
      <c r="M256" s="22" t="s"/>
      <c r="N256" s="22" t="s"/>
      <c r="O256" s="22" t="s"/>
      <c r="P256" s="22" t="s"/>
      <c r="Q256" s="22" t="s"/>
      <c r="R256" s="22" t="s"/>
      <c r="S256" s="22" t="s"/>
      <c r="T256" s="22" t="s"/>
      <c r="U256" s="22" t="s"/>
      <c r="V256" s="22" t="s"/>
      <c r="W256" s="22" t="s"/>
      <c r="X256" s="22" t="s"/>
      <c r="Y256" s="22" t="s"/>
      <c r="Z256" s="22" t="s"/>
    </row>
    <row r="257" spans="1:26" ht="16.8" customHeight="true">
      <c r="A257" s="232" t="s"/>
      <c r="B257" s="30" t="s"/>
      <c r="C257" s="30" t="s"/>
      <c r="D257" s="30" t="s"/>
      <c r="E257" s="31" t="s"/>
      <c r="F257" s="22" t="s"/>
      <c r="G257" s="22" t="s"/>
      <c r="H257" s="22" t="s"/>
      <c r="I257" s="22" t="s"/>
      <c r="J257" s="22" t="s"/>
      <c r="K257" s="22" t="s"/>
      <c r="L257" s="22" t="s"/>
      <c r="M257" s="22" t="s"/>
      <c r="N257" s="22" t="s"/>
      <c r="O257" s="22" t="s"/>
      <c r="P257" s="22" t="s"/>
      <c r="Q257" s="22" t="s"/>
      <c r="R257" s="22" t="s"/>
      <c r="S257" s="22" t="s"/>
      <c r="T257" s="22" t="s"/>
      <c r="U257" s="22" t="s"/>
      <c r="V257" s="22" t="s"/>
      <c r="W257" s="22" t="s"/>
      <c r="X257" s="22" t="s"/>
      <c r="Y257" s="22" t="s"/>
      <c r="Z257" s="22" t="s"/>
    </row>
    <row r="258" spans="1:26" ht="16.8" customHeight="true">
      <c r="A258" s="232" t="s"/>
      <c r="B258" s="30" t="s"/>
      <c r="C258" s="30" t="s"/>
      <c r="D258" s="30" t="s"/>
      <c r="E258" s="31" t="s"/>
      <c r="F258" s="22" t="s"/>
      <c r="G258" s="22" t="s"/>
      <c r="H258" s="22" t="s"/>
      <c r="I258" s="22" t="s"/>
      <c r="J258" s="22" t="s"/>
      <c r="K258" s="22" t="s"/>
      <c r="L258" s="22" t="s"/>
      <c r="M258" s="22" t="s"/>
      <c r="N258" s="22" t="s"/>
      <c r="O258" s="22" t="s"/>
      <c r="P258" s="22" t="s"/>
      <c r="Q258" s="22" t="s"/>
      <c r="R258" s="22" t="s"/>
      <c r="S258" s="22" t="s"/>
      <c r="T258" s="22" t="s"/>
      <c r="U258" s="22" t="s"/>
      <c r="V258" s="22" t="s"/>
      <c r="W258" s="22" t="s"/>
      <c r="X258" s="22" t="s"/>
      <c r="Y258" s="22" t="s"/>
      <c r="Z258" s="22" t="s"/>
    </row>
    <row r="259" spans="1:26" ht="16.8" customHeight="true">
      <c r="A259" s="232" t="s"/>
      <c r="B259" s="30" t="s"/>
      <c r="C259" s="30" t="s"/>
      <c r="D259" s="30" t="s"/>
      <c r="E259" s="31" t="s"/>
      <c r="F259" s="22" t="s"/>
      <c r="G259" s="22" t="s"/>
      <c r="H259" s="22" t="s"/>
      <c r="I259" s="22" t="s"/>
      <c r="J259" s="22" t="s"/>
      <c r="K259" s="22" t="s"/>
      <c r="L259" s="22" t="s"/>
      <c r="M259" s="22" t="s"/>
      <c r="N259" s="22" t="s"/>
      <c r="O259" s="22" t="s"/>
      <c r="P259" s="22" t="s"/>
      <c r="Q259" s="22" t="s"/>
      <c r="R259" s="22" t="s"/>
      <c r="S259" s="22" t="s"/>
      <c r="T259" s="22" t="s"/>
      <c r="U259" s="22" t="s"/>
      <c r="V259" s="22" t="s"/>
      <c r="W259" s="22" t="s"/>
      <c r="X259" s="22" t="s"/>
      <c r="Y259" s="22" t="s"/>
      <c r="Z259" s="22" t="s"/>
    </row>
    <row r="260" spans="1:26" ht="16.8" customHeight="true">
      <c r="A260" s="232" t="s"/>
      <c r="B260" s="30" t="s"/>
      <c r="C260" s="30" t="s"/>
      <c r="D260" s="30" t="s"/>
      <c r="E260" s="31" t="s"/>
      <c r="F260" s="22" t="s"/>
      <c r="G260" s="22" t="s"/>
      <c r="H260" s="22" t="s"/>
      <c r="I260" s="22" t="s"/>
      <c r="J260" s="22" t="s"/>
      <c r="K260" s="22" t="s"/>
      <c r="L260" s="22" t="s"/>
      <c r="M260" s="22" t="s"/>
      <c r="N260" s="22" t="s"/>
      <c r="O260" s="22" t="s"/>
      <c r="P260" s="22" t="s"/>
      <c r="Q260" s="22" t="s"/>
      <c r="R260" s="22" t="s"/>
      <c r="S260" s="22" t="s"/>
      <c r="T260" s="22" t="s"/>
      <c r="U260" s="22" t="s"/>
      <c r="V260" s="22" t="s"/>
      <c r="W260" s="22" t="s"/>
      <c r="X260" s="22" t="s"/>
      <c r="Y260" s="22" t="s"/>
      <c r="Z260" s="22" t="s"/>
    </row>
    <row r="261" spans="1:26" ht="16.8" customHeight="true">
      <c r="A261" s="232" t="s"/>
      <c r="B261" s="30" t="s"/>
      <c r="C261" s="30" t="s"/>
      <c r="D261" s="30" t="s"/>
      <c r="E261" s="31" t="s"/>
      <c r="F261" s="22" t="s"/>
      <c r="G261" s="22" t="s"/>
      <c r="H261" s="22" t="s"/>
      <c r="I261" s="22" t="s"/>
      <c r="J261" s="22" t="s"/>
      <c r="K261" s="22" t="s"/>
      <c r="L261" s="22" t="s"/>
      <c r="M261" s="22" t="s"/>
      <c r="N261" s="22" t="s"/>
      <c r="O261" s="22" t="s"/>
      <c r="P261" s="22" t="s"/>
      <c r="Q261" s="22" t="s"/>
      <c r="R261" s="22" t="s"/>
      <c r="S261" s="22" t="s"/>
      <c r="T261" s="22" t="s"/>
      <c r="U261" s="22" t="s"/>
      <c r="V261" s="22" t="s"/>
      <c r="W261" s="22" t="s"/>
      <c r="X261" s="22" t="s"/>
      <c r="Y261" s="22" t="s"/>
      <c r="Z261" s="22" t="s"/>
    </row>
    <row r="262" spans="1:26" ht="16.8" customHeight="true">
      <c r="A262" s="232" t="s"/>
      <c r="B262" s="30" t="s"/>
      <c r="C262" s="30" t="s"/>
      <c r="D262" s="30" t="s"/>
      <c r="E262" s="31" t="s"/>
      <c r="F262" s="22" t="s"/>
      <c r="G262" s="22" t="s"/>
      <c r="H262" s="22" t="s"/>
      <c r="I262" s="22" t="s"/>
      <c r="J262" s="22" t="s"/>
      <c r="K262" s="22" t="s"/>
      <c r="L262" s="22" t="s"/>
      <c r="M262" s="22" t="s"/>
      <c r="N262" s="22" t="s"/>
      <c r="O262" s="22" t="s"/>
      <c r="P262" s="22" t="s"/>
      <c r="Q262" s="22" t="s"/>
      <c r="R262" s="22" t="s"/>
      <c r="S262" s="22" t="s"/>
      <c r="T262" s="22" t="s"/>
      <c r="U262" s="22" t="s"/>
      <c r="V262" s="22" t="s"/>
      <c r="W262" s="22" t="s"/>
      <c r="X262" s="22" t="s"/>
      <c r="Y262" s="22" t="s"/>
      <c r="Z262" s="22" t="s"/>
    </row>
    <row r="263" spans="1:26" ht="16.8" customHeight="true">
      <c r="A263" s="232" t="s"/>
      <c r="B263" s="30" t="s"/>
      <c r="C263" s="30" t="s"/>
      <c r="D263" s="30" t="s"/>
      <c r="E263" s="31" t="s"/>
      <c r="F263" s="22" t="s"/>
      <c r="G263" s="22" t="s"/>
      <c r="H263" s="22" t="s"/>
      <c r="I263" s="22" t="s"/>
      <c r="J263" s="22" t="s"/>
      <c r="K263" s="22" t="s"/>
      <c r="L263" s="22" t="s"/>
      <c r="M263" s="22" t="s"/>
      <c r="N263" s="22" t="s"/>
      <c r="O263" s="22" t="s"/>
      <c r="P263" s="22" t="s"/>
      <c r="Q263" s="22" t="s"/>
      <c r="R263" s="22" t="s"/>
      <c r="S263" s="22" t="s"/>
      <c r="T263" s="22" t="s"/>
      <c r="U263" s="22" t="s"/>
      <c r="V263" s="22" t="s"/>
      <c r="W263" s="22" t="s"/>
      <c r="X263" s="22" t="s"/>
      <c r="Y263" s="22" t="s"/>
      <c r="Z263" s="22" t="s"/>
    </row>
    <row r="264" spans="1:26" ht="16.8" customHeight="true">
      <c r="A264" s="232" t="s"/>
      <c r="B264" s="30" t="s"/>
      <c r="C264" s="30" t="s"/>
      <c r="D264" s="30" t="s"/>
      <c r="E264" s="31" t="s"/>
      <c r="F264" s="22" t="s"/>
      <c r="G264" s="22" t="s"/>
      <c r="H264" s="22" t="s"/>
      <c r="I264" s="22" t="s"/>
      <c r="J264" s="22" t="s"/>
      <c r="K264" s="22" t="s"/>
      <c r="L264" s="22" t="s"/>
      <c r="M264" s="22" t="s"/>
      <c r="N264" s="22" t="s"/>
      <c r="O264" s="22" t="s"/>
      <c r="P264" s="22" t="s"/>
      <c r="Q264" s="22" t="s"/>
      <c r="R264" s="22" t="s"/>
      <c r="S264" s="22" t="s"/>
      <c r="T264" s="22" t="s"/>
      <c r="U264" s="22" t="s"/>
      <c r="V264" s="22" t="s"/>
      <c r="W264" s="22" t="s"/>
      <c r="X264" s="22" t="s"/>
      <c r="Y264" s="22" t="s"/>
      <c r="Z264" s="22" t="s"/>
    </row>
    <row r="265" spans="1:26" ht="16.8" customHeight="true">
      <c r="A265" s="232" t="s"/>
      <c r="B265" s="30" t="s"/>
      <c r="C265" s="30" t="s"/>
      <c r="D265" s="30" t="s"/>
      <c r="E265" s="31" t="s"/>
      <c r="F265" s="22" t="s"/>
      <c r="G265" s="22" t="s"/>
      <c r="H265" s="22" t="s"/>
      <c r="I265" s="22" t="s"/>
      <c r="J265" s="22" t="s"/>
      <c r="K265" s="22" t="s"/>
      <c r="L265" s="22" t="s"/>
      <c r="M265" s="22" t="s"/>
      <c r="N265" s="22" t="s"/>
      <c r="O265" s="22" t="s"/>
      <c r="P265" s="22" t="s"/>
      <c r="Q265" s="22" t="s"/>
      <c r="R265" s="22" t="s"/>
      <c r="S265" s="22" t="s"/>
      <c r="T265" s="22" t="s"/>
      <c r="U265" s="22" t="s"/>
      <c r="V265" s="22" t="s"/>
      <c r="W265" s="22" t="s"/>
      <c r="X265" s="22" t="s"/>
      <c r="Y265" s="22" t="s"/>
      <c r="Z265" s="22" t="s"/>
    </row>
    <row r="266" spans="1:26" ht="16.8" customHeight="true">
      <c r="A266" s="232" t="s"/>
      <c r="B266" s="30" t="s"/>
      <c r="C266" s="30" t="s"/>
      <c r="D266" s="30" t="s"/>
      <c r="E266" s="31" t="s"/>
      <c r="F266" s="22" t="s"/>
      <c r="G266" s="22" t="s"/>
      <c r="H266" s="22" t="s"/>
      <c r="I266" s="22" t="s"/>
      <c r="J266" s="22" t="s"/>
      <c r="K266" s="22" t="s"/>
      <c r="L266" s="22" t="s"/>
      <c r="M266" s="22" t="s"/>
      <c r="N266" s="22" t="s"/>
      <c r="O266" s="22" t="s"/>
      <c r="P266" s="22" t="s"/>
      <c r="Q266" s="22" t="s"/>
      <c r="R266" s="22" t="s"/>
      <c r="S266" s="22" t="s"/>
      <c r="T266" s="22" t="s"/>
      <c r="U266" s="22" t="s"/>
      <c r="V266" s="22" t="s"/>
      <c r="W266" s="22" t="s"/>
      <c r="X266" s="22" t="s"/>
      <c r="Y266" s="22" t="s"/>
      <c r="Z266" s="22" t="s"/>
    </row>
    <row r="267" spans="1:26" ht="16.8" customHeight="true">
      <c r="A267" s="232" t="s"/>
      <c r="B267" s="30" t="s"/>
      <c r="C267" s="30" t="s"/>
      <c r="D267" s="30" t="s"/>
      <c r="E267" s="31" t="s"/>
      <c r="F267" s="22" t="s"/>
      <c r="G267" s="22" t="s"/>
      <c r="H267" s="22" t="s"/>
      <c r="I267" s="22" t="s"/>
      <c r="J267" s="22" t="s"/>
      <c r="K267" s="22" t="s"/>
      <c r="L267" s="22" t="s"/>
      <c r="M267" s="22" t="s"/>
      <c r="N267" s="22" t="s"/>
      <c r="O267" s="22" t="s"/>
      <c r="P267" s="22" t="s"/>
      <c r="Q267" s="22" t="s"/>
      <c r="R267" s="22" t="s"/>
      <c r="S267" s="22" t="s"/>
      <c r="T267" s="22" t="s"/>
      <c r="U267" s="22" t="s"/>
      <c r="V267" s="22" t="s"/>
      <c r="W267" s="22" t="s"/>
      <c r="X267" s="22" t="s"/>
      <c r="Y267" s="22" t="s"/>
      <c r="Z267" s="22" t="s"/>
    </row>
    <row r="268" spans="1:26" ht="16.8" customHeight="true">
      <c r="A268" s="232" t="s"/>
      <c r="B268" s="30" t="s"/>
      <c r="C268" s="30" t="s"/>
      <c r="D268" s="30" t="s"/>
      <c r="E268" s="31" t="s"/>
      <c r="F268" s="22" t="s"/>
      <c r="G268" s="22" t="s"/>
      <c r="H268" s="22" t="s"/>
      <c r="I268" s="22" t="s"/>
      <c r="J268" s="22" t="s"/>
      <c r="K268" s="22" t="s"/>
      <c r="L268" s="22" t="s"/>
      <c r="M268" s="22" t="s"/>
      <c r="N268" s="22" t="s"/>
      <c r="O268" s="22" t="s"/>
      <c r="P268" s="22" t="s"/>
      <c r="Q268" s="22" t="s"/>
      <c r="R268" s="22" t="s"/>
      <c r="S268" s="22" t="s"/>
      <c r="T268" s="22" t="s"/>
      <c r="U268" s="22" t="s"/>
      <c r="V268" s="22" t="s"/>
      <c r="W268" s="22" t="s"/>
      <c r="X268" s="22" t="s"/>
      <c r="Y268" s="22" t="s"/>
      <c r="Z268" s="22" t="s"/>
    </row>
    <row r="269" spans="1:26" ht="16.8" customHeight="true">
      <c r="A269" s="232" t="s"/>
      <c r="B269" s="30" t="s"/>
      <c r="C269" s="30" t="s"/>
      <c r="D269" s="30" t="s"/>
      <c r="E269" s="31" t="s"/>
      <c r="F269" s="22" t="s"/>
      <c r="G269" s="22" t="s"/>
      <c r="H269" s="22" t="s"/>
      <c r="I269" s="22" t="s"/>
      <c r="J269" s="22" t="s"/>
      <c r="K269" s="22" t="s"/>
      <c r="L269" s="22" t="s"/>
      <c r="M269" s="22" t="s"/>
      <c r="N269" s="22" t="s"/>
      <c r="O269" s="22" t="s"/>
      <c r="P269" s="22" t="s"/>
      <c r="Q269" s="22" t="s"/>
      <c r="R269" s="22" t="s"/>
      <c r="S269" s="22" t="s"/>
      <c r="T269" s="22" t="s"/>
      <c r="U269" s="22" t="s"/>
      <c r="V269" s="22" t="s"/>
      <c r="W269" s="22" t="s"/>
      <c r="X269" s="22" t="s"/>
      <c r="Y269" s="22" t="s"/>
      <c r="Z269" s="22" t="s"/>
    </row>
    <row r="270" spans="1:26" ht="16.8" customHeight="true">
      <c r="A270" s="232" t="s"/>
      <c r="B270" s="30" t="s"/>
      <c r="C270" s="30" t="s"/>
      <c r="D270" s="30" t="s"/>
      <c r="E270" s="31" t="s"/>
      <c r="F270" s="22" t="s"/>
      <c r="G270" s="22" t="s"/>
      <c r="H270" s="22" t="s"/>
      <c r="I270" s="22" t="s"/>
      <c r="J270" s="22" t="s"/>
      <c r="K270" s="22" t="s"/>
      <c r="L270" s="22" t="s"/>
      <c r="M270" s="22" t="s"/>
      <c r="N270" s="22" t="s"/>
      <c r="O270" s="22" t="s"/>
      <c r="P270" s="22" t="s"/>
      <c r="Q270" s="22" t="s"/>
      <c r="R270" s="22" t="s"/>
      <c r="S270" s="22" t="s"/>
      <c r="T270" s="22" t="s"/>
      <c r="U270" s="22" t="s"/>
      <c r="V270" s="22" t="s"/>
      <c r="W270" s="22" t="s"/>
      <c r="X270" s="22" t="s"/>
      <c r="Y270" s="22" t="s"/>
      <c r="Z270" s="22" t="s"/>
    </row>
    <row r="271" spans="1:26" ht="16.8" customHeight="true">
      <c r="A271" s="232" t="s"/>
      <c r="B271" s="30" t="s"/>
      <c r="C271" s="30" t="s"/>
      <c r="D271" s="30" t="s"/>
      <c r="E271" s="31" t="s"/>
      <c r="F271" s="22" t="s"/>
      <c r="G271" s="22" t="s"/>
      <c r="H271" s="22" t="s"/>
      <c r="I271" s="22" t="s"/>
      <c r="J271" s="22" t="s"/>
      <c r="K271" s="22" t="s"/>
      <c r="L271" s="22" t="s"/>
      <c r="M271" s="22" t="s"/>
      <c r="N271" s="22" t="s"/>
      <c r="O271" s="22" t="s"/>
      <c r="P271" s="22" t="s"/>
      <c r="Q271" s="22" t="s"/>
      <c r="R271" s="22" t="s"/>
      <c r="S271" s="22" t="s"/>
      <c r="T271" s="22" t="s"/>
      <c r="U271" s="22" t="s"/>
      <c r="V271" s="22" t="s"/>
      <c r="W271" s="22" t="s"/>
      <c r="X271" s="22" t="s"/>
      <c r="Y271" s="22" t="s"/>
      <c r="Z271" s="22" t="s"/>
    </row>
    <row r="272" spans="1:26" ht="16.8" customHeight="true">
      <c r="A272" s="232" t="s"/>
      <c r="B272" s="30" t="s"/>
      <c r="C272" s="30" t="s"/>
      <c r="D272" s="30" t="s"/>
      <c r="E272" s="31" t="s"/>
      <c r="F272" s="22" t="s"/>
      <c r="G272" s="22" t="s"/>
      <c r="H272" s="22" t="s"/>
      <c r="I272" s="22" t="s"/>
      <c r="J272" s="22" t="s"/>
      <c r="K272" s="22" t="s"/>
      <c r="L272" s="22" t="s"/>
      <c r="M272" s="22" t="s"/>
      <c r="N272" s="22" t="s"/>
      <c r="O272" s="22" t="s"/>
      <c r="P272" s="22" t="s"/>
      <c r="Q272" s="22" t="s"/>
      <c r="R272" s="22" t="s"/>
      <c r="S272" s="22" t="s"/>
      <c r="T272" s="22" t="s"/>
      <c r="U272" s="22" t="s"/>
      <c r="V272" s="22" t="s"/>
      <c r="W272" s="22" t="s"/>
      <c r="X272" s="22" t="s"/>
      <c r="Y272" s="22" t="s"/>
      <c r="Z272" s="22" t="s"/>
    </row>
    <row r="273" spans="1:26" ht="16.8" customHeight="true">
      <c r="A273" s="232" t="s"/>
      <c r="B273" s="30" t="s"/>
      <c r="C273" s="30" t="s"/>
      <c r="D273" s="30" t="s"/>
      <c r="E273" s="31" t="s"/>
      <c r="F273" s="22" t="s"/>
      <c r="G273" s="22" t="s"/>
      <c r="H273" s="22" t="s"/>
      <c r="I273" s="22" t="s"/>
      <c r="J273" s="22" t="s"/>
      <c r="K273" s="22" t="s"/>
      <c r="L273" s="22" t="s"/>
      <c r="M273" s="22" t="s"/>
      <c r="N273" s="22" t="s"/>
      <c r="O273" s="22" t="s"/>
      <c r="P273" s="22" t="s"/>
      <c r="Q273" s="22" t="s"/>
      <c r="R273" s="22" t="s"/>
      <c r="S273" s="22" t="s"/>
      <c r="T273" s="22" t="s"/>
      <c r="U273" s="22" t="s"/>
      <c r="V273" s="22" t="s"/>
      <c r="W273" s="22" t="s"/>
      <c r="X273" s="22" t="s"/>
      <c r="Y273" s="22" t="s"/>
      <c r="Z273" s="22" t="s"/>
    </row>
    <row r="274" spans="1:26" ht="16.8" customHeight="true">
      <c r="A274" s="232" t="s"/>
      <c r="B274" s="30" t="s"/>
      <c r="C274" s="30" t="s"/>
      <c r="D274" s="30" t="s"/>
      <c r="E274" s="31" t="s"/>
      <c r="F274" s="22" t="s"/>
      <c r="G274" s="22" t="s"/>
      <c r="H274" s="22" t="s"/>
      <c r="I274" s="22" t="s"/>
      <c r="J274" s="22" t="s"/>
      <c r="K274" s="22" t="s"/>
      <c r="L274" s="22" t="s"/>
      <c r="M274" s="22" t="s"/>
      <c r="N274" s="22" t="s"/>
      <c r="O274" s="22" t="s"/>
      <c r="P274" s="22" t="s"/>
      <c r="Q274" s="22" t="s"/>
      <c r="R274" s="22" t="s"/>
      <c r="S274" s="22" t="s"/>
      <c r="T274" s="22" t="s"/>
      <c r="U274" s="22" t="s"/>
      <c r="V274" s="22" t="s"/>
      <c r="W274" s="22" t="s"/>
      <c r="X274" s="22" t="s"/>
      <c r="Y274" s="22" t="s"/>
      <c r="Z274" s="22" t="s"/>
    </row>
    <row r="275" spans="1:26" ht="16.8" customHeight="true">
      <c r="A275" s="232" t="s"/>
      <c r="B275" s="30" t="s"/>
      <c r="C275" s="30" t="s"/>
      <c r="D275" s="30" t="s"/>
      <c r="E275" s="31" t="s"/>
      <c r="F275" s="22" t="s"/>
      <c r="G275" s="22" t="s"/>
      <c r="H275" s="22" t="s"/>
      <c r="I275" s="22" t="s"/>
      <c r="J275" s="22" t="s"/>
      <c r="K275" s="22" t="s"/>
      <c r="L275" s="22" t="s"/>
      <c r="M275" s="22" t="s"/>
      <c r="N275" s="22" t="s"/>
      <c r="O275" s="22" t="s"/>
      <c r="P275" s="22" t="s"/>
      <c r="Q275" s="22" t="s"/>
      <c r="R275" s="22" t="s"/>
      <c r="S275" s="22" t="s"/>
      <c r="T275" s="22" t="s"/>
      <c r="U275" s="22" t="s"/>
      <c r="V275" s="22" t="s"/>
      <c r="W275" s="22" t="s"/>
      <c r="X275" s="22" t="s"/>
      <c r="Y275" s="22" t="s"/>
      <c r="Z275" s="22" t="s"/>
    </row>
    <row r="276" spans="1:26" ht="16.8" customHeight="true">
      <c r="A276" s="232" t="s"/>
      <c r="B276" s="30" t="s"/>
      <c r="C276" s="30" t="s"/>
      <c r="D276" s="30" t="s"/>
      <c r="E276" s="31" t="s"/>
      <c r="F276" s="22" t="s"/>
      <c r="G276" s="22" t="s"/>
      <c r="H276" s="22" t="s"/>
      <c r="I276" s="22" t="s"/>
      <c r="J276" s="22" t="s"/>
      <c r="K276" s="22" t="s"/>
      <c r="L276" s="22" t="s"/>
      <c r="M276" s="22" t="s"/>
      <c r="N276" s="22" t="s"/>
      <c r="O276" s="22" t="s"/>
      <c r="P276" s="22" t="s"/>
      <c r="Q276" s="22" t="s"/>
      <c r="R276" s="22" t="s"/>
      <c r="S276" s="22" t="s"/>
      <c r="T276" s="22" t="s"/>
      <c r="U276" s="22" t="s"/>
      <c r="V276" s="22" t="s"/>
      <c r="W276" s="22" t="s"/>
      <c r="X276" s="22" t="s"/>
      <c r="Y276" s="22" t="s"/>
      <c r="Z276" s="22" t="s"/>
    </row>
    <row r="277" spans="1:26" ht="16.8" customHeight="true">
      <c r="A277" s="232" t="s"/>
      <c r="B277" s="30" t="s"/>
      <c r="C277" s="30" t="s"/>
      <c r="D277" s="30" t="s"/>
      <c r="E277" s="31" t="s"/>
      <c r="F277" s="22" t="s"/>
      <c r="G277" s="22" t="s"/>
      <c r="H277" s="22" t="s"/>
      <c r="I277" s="22" t="s"/>
      <c r="J277" s="22" t="s"/>
      <c r="K277" s="22" t="s"/>
      <c r="L277" s="22" t="s"/>
      <c r="M277" s="22" t="s"/>
      <c r="N277" s="22" t="s"/>
      <c r="O277" s="22" t="s"/>
      <c r="P277" s="22" t="s"/>
      <c r="Q277" s="22" t="s"/>
      <c r="R277" s="22" t="s"/>
      <c r="S277" s="22" t="s"/>
      <c r="T277" s="22" t="s"/>
      <c r="U277" s="22" t="s"/>
      <c r="V277" s="22" t="s"/>
      <c r="W277" s="22" t="s"/>
      <c r="X277" s="22" t="s"/>
      <c r="Y277" s="22" t="s"/>
      <c r="Z277" s="22" t="s"/>
    </row>
    <row r="278" spans="1:26" ht="16.8" customHeight="true">
      <c r="A278" s="232" t="s"/>
      <c r="B278" s="30" t="s"/>
      <c r="C278" s="30" t="s"/>
      <c r="D278" s="30" t="s"/>
      <c r="E278" s="31" t="s"/>
      <c r="F278" s="22" t="s"/>
      <c r="G278" s="22" t="s"/>
      <c r="H278" s="22" t="s"/>
      <c r="I278" s="22" t="s"/>
      <c r="J278" s="22" t="s"/>
      <c r="K278" s="22" t="s"/>
      <c r="L278" s="22" t="s"/>
      <c r="M278" s="22" t="s"/>
      <c r="N278" s="22" t="s"/>
      <c r="O278" s="22" t="s"/>
      <c r="P278" s="22" t="s"/>
      <c r="Q278" s="22" t="s"/>
      <c r="R278" s="22" t="s"/>
      <c r="S278" s="22" t="s"/>
      <c r="T278" s="22" t="s"/>
      <c r="U278" s="22" t="s"/>
      <c r="V278" s="22" t="s"/>
      <c r="W278" s="22" t="s"/>
      <c r="X278" s="22" t="s"/>
      <c r="Y278" s="22" t="s"/>
      <c r="Z278" s="22" t="s"/>
    </row>
    <row r="279" spans="1:26" ht="16.8" customHeight="true">
      <c r="A279" s="232" t="s"/>
      <c r="B279" s="30" t="s"/>
      <c r="C279" s="30" t="s"/>
      <c r="D279" s="30" t="s"/>
      <c r="E279" s="31" t="s"/>
      <c r="F279" s="22" t="s"/>
      <c r="G279" s="22" t="s"/>
      <c r="H279" s="22" t="s"/>
      <c r="I279" s="22" t="s"/>
      <c r="J279" s="22" t="s"/>
      <c r="K279" s="22" t="s"/>
      <c r="L279" s="22" t="s"/>
      <c r="M279" s="22" t="s"/>
      <c r="N279" s="22" t="s"/>
      <c r="O279" s="22" t="s"/>
      <c r="P279" s="22" t="s"/>
      <c r="Q279" s="22" t="s"/>
      <c r="R279" s="22" t="s"/>
      <c r="S279" s="22" t="s"/>
      <c r="T279" s="22" t="s"/>
      <c r="U279" s="22" t="s"/>
      <c r="V279" s="22" t="s"/>
      <c r="W279" s="22" t="s"/>
      <c r="X279" s="22" t="s"/>
      <c r="Y279" s="22" t="s"/>
      <c r="Z279" s="22" t="s"/>
    </row>
    <row r="280" spans="1:26" ht="16.8" customHeight="true">
      <c r="A280" s="232" t="s"/>
      <c r="B280" s="30" t="s"/>
      <c r="C280" s="30" t="s"/>
      <c r="D280" s="30" t="s"/>
      <c r="E280" s="31" t="s"/>
      <c r="F280" s="22" t="s"/>
      <c r="G280" s="22" t="s"/>
      <c r="H280" s="22" t="s"/>
      <c r="I280" s="22" t="s"/>
      <c r="J280" s="22" t="s"/>
      <c r="K280" s="22" t="s"/>
      <c r="L280" s="22" t="s"/>
      <c r="M280" s="22" t="s"/>
      <c r="N280" s="22" t="s"/>
      <c r="O280" s="22" t="s"/>
      <c r="P280" s="22" t="s"/>
      <c r="Q280" s="22" t="s"/>
      <c r="R280" s="22" t="s"/>
      <c r="S280" s="22" t="s"/>
      <c r="T280" s="22" t="s"/>
      <c r="U280" s="22" t="s"/>
      <c r="V280" s="22" t="s"/>
      <c r="W280" s="22" t="s"/>
      <c r="X280" s="22" t="s"/>
      <c r="Y280" s="22" t="s"/>
      <c r="Z280" s="22" t="s"/>
    </row>
    <row r="281" spans="1:26" ht="16.8" customHeight="true">
      <c r="A281" s="232" t="s"/>
      <c r="B281" s="30" t="s"/>
      <c r="C281" s="30" t="s"/>
      <c r="D281" s="30" t="s"/>
      <c r="E281" s="31" t="s"/>
      <c r="F281" s="22" t="s"/>
      <c r="G281" s="22" t="s"/>
      <c r="H281" s="22" t="s"/>
      <c r="I281" s="22" t="s"/>
      <c r="J281" s="22" t="s"/>
      <c r="K281" s="22" t="s"/>
      <c r="L281" s="22" t="s"/>
      <c r="M281" s="22" t="s"/>
      <c r="N281" s="22" t="s"/>
      <c r="O281" s="22" t="s"/>
      <c r="P281" s="22" t="s"/>
      <c r="Q281" s="22" t="s"/>
      <c r="R281" s="22" t="s"/>
      <c r="S281" s="22" t="s"/>
      <c r="T281" s="22" t="s"/>
      <c r="U281" s="22" t="s"/>
      <c r="V281" s="22" t="s"/>
      <c r="W281" s="22" t="s"/>
      <c r="X281" s="22" t="s"/>
      <c r="Y281" s="22" t="s"/>
      <c r="Z281" s="22" t="s"/>
    </row>
    <row r="282" spans="1:26" ht="16.8" customHeight="true">
      <c r="A282" s="232" t="s"/>
      <c r="B282" s="30" t="s"/>
      <c r="C282" s="30" t="s"/>
      <c r="D282" s="30" t="s"/>
      <c r="E282" s="31" t="s"/>
      <c r="F282" s="22" t="s"/>
      <c r="G282" s="22" t="s"/>
      <c r="H282" s="22" t="s"/>
      <c r="I282" s="22" t="s"/>
      <c r="J282" s="22" t="s"/>
      <c r="K282" s="22" t="s"/>
      <c r="L282" s="22" t="s"/>
      <c r="M282" s="22" t="s"/>
      <c r="N282" s="22" t="s"/>
      <c r="O282" s="22" t="s"/>
      <c r="P282" s="22" t="s"/>
      <c r="Q282" s="22" t="s"/>
      <c r="R282" s="22" t="s"/>
      <c r="S282" s="22" t="s"/>
      <c r="T282" s="22" t="s"/>
      <c r="U282" s="22" t="s"/>
      <c r="V282" s="22" t="s"/>
      <c r="W282" s="22" t="s"/>
      <c r="X282" s="22" t="s"/>
      <c r="Y282" s="22" t="s"/>
      <c r="Z282" s="22" t="s"/>
    </row>
    <row r="283" spans="1:26" ht="16.8" customHeight="true">
      <c r="A283" s="232" t="s"/>
      <c r="B283" s="30" t="s"/>
      <c r="C283" s="30" t="s"/>
      <c r="D283" s="30" t="s"/>
      <c r="E283" s="31" t="s"/>
      <c r="F283" s="22" t="s"/>
      <c r="G283" s="22" t="s"/>
      <c r="H283" s="22" t="s"/>
      <c r="I283" s="22" t="s"/>
      <c r="J283" s="22" t="s"/>
      <c r="K283" s="22" t="s"/>
      <c r="L283" s="22" t="s"/>
      <c r="M283" s="22" t="s"/>
      <c r="N283" s="22" t="s"/>
      <c r="O283" s="22" t="s"/>
      <c r="P283" s="22" t="s"/>
      <c r="Q283" s="22" t="s"/>
      <c r="R283" s="22" t="s"/>
      <c r="S283" s="22" t="s"/>
      <c r="T283" s="22" t="s"/>
      <c r="U283" s="22" t="s"/>
      <c r="V283" s="22" t="s"/>
      <c r="W283" s="22" t="s"/>
      <c r="X283" s="22" t="s"/>
      <c r="Y283" s="22" t="s"/>
      <c r="Z283" s="22" t="s"/>
    </row>
    <row r="284" spans="1:26" ht="16.8" customHeight="true">
      <c r="A284" s="232" t="s"/>
      <c r="B284" s="30" t="s"/>
      <c r="C284" s="30" t="s"/>
      <c r="D284" s="30" t="s"/>
      <c r="E284" s="31" t="s"/>
      <c r="F284" s="22" t="s"/>
      <c r="G284" s="22" t="s"/>
      <c r="H284" s="22" t="s"/>
      <c r="I284" s="22" t="s"/>
      <c r="J284" s="22" t="s"/>
      <c r="K284" s="22" t="s"/>
      <c r="L284" s="22" t="s"/>
      <c r="M284" s="22" t="s"/>
      <c r="N284" s="22" t="s"/>
      <c r="O284" s="22" t="s"/>
      <c r="P284" s="22" t="s"/>
      <c r="Q284" s="22" t="s"/>
      <c r="R284" s="22" t="s"/>
      <c r="S284" s="22" t="s"/>
      <c r="T284" s="22" t="s"/>
      <c r="U284" s="22" t="s"/>
      <c r="V284" s="22" t="s"/>
      <c r="W284" s="22" t="s"/>
      <c r="X284" s="22" t="s"/>
      <c r="Y284" s="22" t="s"/>
      <c r="Z284" s="22" t="s"/>
    </row>
    <row r="285" spans="1:26" ht="16.8" customHeight="true">
      <c r="A285" s="232" t="s"/>
      <c r="B285" s="30" t="s"/>
      <c r="C285" s="30" t="s"/>
      <c r="D285" s="30" t="s"/>
      <c r="E285" s="31" t="s"/>
      <c r="F285" s="22" t="s"/>
      <c r="G285" s="22" t="s"/>
      <c r="H285" s="22" t="s"/>
      <c r="I285" s="22" t="s"/>
      <c r="J285" s="22" t="s"/>
      <c r="K285" s="22" t="s"/>
      <c r="L285" s="22" t="s"/>
      <c r="M285" s="22" t="s"/>
      <c r="N285" s="22" t="s"/>
      <c r="O285" s="22" t="s"/>
      <c r="P285" s="22" t="s"/>
      <c r="Q285" s="22" t="s"/>
      <c r="R285" s="22" t="s"/>
      <c r="S285" s="22" t="s"/>
      <c r="T285" s="22" t="s"/>
      <c r="U285" s="22" t="s"/>
      <c r="V285" s="22" t="s"/>
      <c r="W285" s="22" t="s"/>
      <c r="X285" s="22" t="s"/>
      <c r="Y285" s="22" t="s"/>
      <c r="Z285" s="22" t="s"/>
    </row>
    <row r="286" spans="1:26" ht="16.8" customHeight="true">
      <c r="A286" s="232" t="s"/>
      <c r="B286" s="30" t="s"/>
      <c r="C286" s="30" t="s"/>
      <c r="D286" s="30" t="s"/>
      <c r="E286" s="31" t="s"/>
      <c r="F286" s="22" t="s"/>
      <c r="G286" s="22" t="s"/>
      <c r="H286" s="22" t="s"/>
      <c r="I286" s="22" t="s"/>
      <c r="J286" s="22" t="s"/>
      <c r="K286" s="22" t="s"/>
      <c r="L286" s="22" t="s"/>
      <c r="M286" s="22" t="s"/>
      <c r="N286" s="22" t="s"/>
      <c r="O286" s="22" t="s"/>
      <c r="P286" s="22" t="s"/>
      <c r="Q286" s="22" t="s"/>
      <c r="R286" s="22" t="s"/>
      <c r="S286" s="22" t="s"/>
      <c r="T286" s="22" t="s"/>
      <c r="U286" s="22" t="s"/>
      <c r="V286" s="22" t="s"/>
      <c r="W286" s="22" t="s"/>
      <c r="X286" s="22" t="s"/>
      <c r="Y286" s="22" t="s"/>
      <c r="Z286" s="22" t="s"/>
    </row>
    <row r="287" spans="1:26" ht="16.8" customHeight="true">
      <c r="A287" s="232" t="s"/>
      <c r="B287" s="30" t="s"/>
      <c r="C287" s="30" t="s"/>
      <c r="D287" s="30" t="s"/>
      <c r="E287" s="31" t="s"/>
      <c r="F287" s="22" t="s"/>
      <c r="G287" s="22" t="s"/>
      <c r="H287" s="22" t="s"/>
      <c r="I287" s="22" t="s"/>
      <c r="J287" s="22" t="s"/>
      <c r="K287" s="22" t="s"/>
      <c r="L287" s="22" t="s"/>
      <c r="M287" s="22" t="s"/>
      <c r="N287" s="22" t="s"/>
      <c r="O287" s="22" t="s"/>
      <c r="P287" s="22" t="s"/>
      <c r="Q287" s="22" t="s"/>
      <c r="R287" s="22" t="s"/>
      <c r="S287" s="22" t="s"/>
      <c r="T287" s="22" t="s"/>
      <c r="U287" s="22" t="s"/>
      <c r="V287" s="22" t="s"/>
      <c r="W287" s="22" t="s"/>
      <c r="X287" s="22" t="s"/>
      <c r="Y287" s="22" t="s"/>
      <c r="Z287" s="22" t="s"/>
    </row>
    <row r="288" spans="1:26" ht="16.8" customHeight="true">
      <c r="A288" s="232" t="s"/>
      <c r="B288" s="30" t="s"/>
      <c r="C288" s="30" t="s"/>
      <c r="D288" s="30" t="s"/>
      <c r="E288" s="31" t="s"/>
      <c r="F288" s="22" t="s"/>
      <c r="G288" s="22" t="s"/>
      <c r="H288" s="22" t="s"/>
      <c r="I288" s="22" t="s"/>
      <c r="J288" s="22" t="s"/>
      <c r="K288" s="22" t="s"/>
      <c r="L288" s="22" t="s"/>
      <c r="M288" s="22" t="s"/>
      <c r="N288" s="22" t="s"/>
      <c r="O288" s="22" t="s"/>
      <c r="P288" s="22" t="s"/>
      <c r="Q288" s="22" t="s"/>
      <c r="R288" s="22" t="s"/>
      <c r="S288" s="22" t="s"/>
      <c r="T288" s="22" t="s"/>
      <c r="U288" s="22" t="s"/>
      <c r="V288" s="22" t="s"/>
      <c r="W288" s="22" t="s"/>
      <c r="X288" s="22" t="s"/>
      <c r="Y288" s="22" t="s"/>
      <c r="Z288" s="22" t="s"/>
    </row>
    <row r="289" spans="1:26" ht="16.8" customHeight="true">
      <c r="A289" s="232" t="s"/>
      <c r="B289" s="30" t="s"/>
      <c r="C289" s="30" t="s"/>
      <c r="D289" s="30" t="s"/>
      <c r="E289" s="31" t="s"/>
      <c r="F289" s="22" t="s"/>
      <c r="G289" s="22" t="s"/>
      <c r="H289" s="22" t="s"/>
      <c r="I289" s="22" t="s"/>
      <c r="J289" s="22" t="s"/>
      <c r="K289" s="22" t="s"/>
      <c r="L289" s="22" t="s"/>
      <c r="M289" s="22" t="s"/>
      <c r="N289" s="22" t="s"/>
      <c r="O289" s="22" t="s"/>
      <c r="P289" s="22" t="s"/>
      <c r="Q289" s="22" t="s"/>
      <c r="R289" s="22" t="s"/>
      <c r="S289" s="22" t="s"/>
      <c r="T289" s="22" t="s"/>
      <c r="U289" s="22" t="s"/>
      <c r="V289" s="22" t="s"/>
      <c r="W289" s="22" t="s"/>
      <c r="X289" s="22" t="s"/>
      <c r="Y289" s="22" t="s"/>
      <c r="Z289" s="22" t="s"/>
    </row>
    <row r="290" spans="1:26" ht="16.8" customHeight="true">
      <c r="A290" s="232" t="s"/>
      <c r="B290" s="30" t="s"/>
      <c r="C290" s="30" t="s"/>
      <c r="D290" s="30" t="s"/>
      <c r="E290" s="31" t="s"/>
      <c r="F290" s="22" t="s"/>
      <c r="G290" s="22" t="s"/>
      <c r="H290" s="22" t="s"/>
      <c r="I290" s="22" t="s"/>
      <c r="J290" s="22" t="s"/>
      <c r="K290" s="22" t="s"/>
      <c r="L290" s="22" t="s"/>
      <c r="M290" s="22" t="s"/>
      <c r="N290" s="22" t="s"/>
      <c r="O290" s="22" t="s"/>
      <c r="P290" s="22" t="s"/>
      <c r="Q290" s="22" t="s"/>
      <c r="R290" s="22" t="s"/>
      <c r="S290" s="22" t="s"/>
      <c r="T290" s="22" t="s"/>
      <c r="U290" s="22" t="s"/>
      <c r="V290" s="22" t="s"/>
      <c r="W290" s="22" t="s"/>
      <c r="X290" s="22" t="s"/>
      <c r="Y290" s="22" t="s"/>
      <c r="Z290" s="22" t="s"/>
    </row>
    <row r="291" spans="1:26" ht="16.8" customHeight="true">
      <c r="A291" s="232" t="s"/>
      <c r="B291" s="30" t="s"/>
      <c r="C291" s="30" t="s"/>
      <c r="D291" s="30" t="s"/>
      <c r="E291" s="31" t="s"/>
      <c r="F291" s="22" t="s"/>
      <c r="G291" s="22" t="s"/>
      <c r="H291" s="22" t="s"/>
      <c r="I291" s="22" t="s"/>
      <c r="J291" s="22" t="s"/>
      <c r="K291" s="22" t="s"/>
      <c r="L291" s="22" t="s"/>
      <c r="M291" s="22" t="s"/>
      <c r="N291" s="22" t="s"/>
      <c r="O291" s="22" t="s"/>
      <c r="P291" s="22" t="s"/>
      <c r="Q291" s="22" t="s"/>
      <c r="R291" s="22" t="s"/>
      <c r="S291" s="22" t="s"/>
      <c r="T291" s="22" t="s"/>
      <c r="U291" s="22" t="s"/>
      <c r="V291" s="22" t="s"/>
      <c r="W291" s="22" t="s"/>
      <c r="X291" s="22" t="s"/>
      <c r="Y291" s="22" t="s"/>
      <c r="Z291" s="22" t="s"/>
    </row>
    <row r="292" spans="1:26" ht="16.8" customHeight="true">
      <c r="A292" s="232" t="s"/>
      <c r="B292" s="30" t="s"/>
      <c r="C292" s="30" t="s"/>
      <c r="D292" s="30" t="s"/>
      <c r="E292" s="31" t="s"/>
      <c r="F292" s="22" t="s"/>
      <c r="G292" s="22" t="s"/>
      <c r="H292" s="22" t="s"/>
      <c r="I292" s="22" t="s"/>
      <c r="J292" s="22" t="s"/>
      <c r="K292" s="22" t="s"/>
      <c r="L292" s="22" t="s"/>
      <c r="M292" s="22" t="s"/>
      <c r="N292" s="22" t="s"/>
      <c r="O292" s="22" t="s"/>
      <c r="P292" s="22" t="s"/>
      <c r="Q292" s="22" t="s"/>
      <c r="R292" s="22" t="s"/>
      <c r="S292" s="22" t="s"/>
      <c r="T292" s="22" t="s"/>
      <c r="U292" s="22" t="s"/>
      <c r="V292" s="22" t="s"/>
      <c r="W292" s="22" t="s"/>
      <c r="X292" s="22" t="s"/>
      <c r="Y292" s="22" t="s"/>
      <c r="Z292" s="22" t="s"/>
    </row>
    <row r="293" spans="1:26" ht="16.8" customHeight="true">
      <c r="A293" s="232" t="s"/>
      <c r="B293" s="30" t="s"/>
      <c r="C293" s="30" t="s"/>
      <c r="D293" s="30" t="s"/>
      <c r="E293" s="31" t="s"/>
      <c r="F293" s="22" t="s"/>
      <c r="G293" s="22" t="s"/>
      <c r="H293" s="22" t="s"/>
      <c r="I293" s="22" t="s"/>
      <c r="J293" s="22" t="s"/>
      <c r="K293" s="22" t="s"/>
      <c r="L293" s="22" t="s"/>
      <c r="M293" s="22" t="s"/>
      <c r="N293" s="22" t="s"/>
      <c r="O293" s="22" t="s"/>
      <c r="P293" s="22" t="s"/>
      <c r="Q293" s="22" t="s"/>
      <c r="R293" s="22" t="s"/>
      <c r="S293" s="22" t="s"/>
      <c r="T293" s="22" t="s"/>
      <c r="U293" s="22" t="s"/>
      <c r="V293" s="22" t="s"/>
      <c r="W293" s="22" t="s"/>
      <c r="X293" s="22" t="s"/>
      <c r="Y293" s="22" t="s"/>
      <c r="Z293" s="22" t="s"/>
    </row>
    <row r="294" spans="1:26" ht="16.8" customHeight="true">
      <c r="A294" s="232" t="s"/>
      <c r="B294" s="30" t="s"/>
      <c r="C294" s="30" t="s"/>
      <c r="D294" s="30" t="s"/>
      <c r="E294" s="31" t="s"/>
      <c r="F294" s="22" t="s"/>
      <c r="G294" s="22" t="s"/>
      <c r="H294" s="22" t="s"/>
      <c r="I294" s="22" t="s"/>
      <c r="J294" s="22" t="s"/>
      <c r="K294" s="22" t="s"/>
      <c r="L294" s="22" t="s"/>
      <c r="M294" s="22" t="s"/>
      <c r="N294" s="22" t="s"/>
      <c r="O294" s="22" t="s"/>
      <c r="P294" s="22" t="s"/>
      <c r="Q294" s="22" t="s"/>
      <c r="R294" s="22" t="s"/>
      <c r="S294" s="22" t="s"/>
      <c r="T294" s="22" t="s"/>
      <c r="U294" s="22" t="s"/>
      <c r="V294" s="22" t="s"/>
      <c r="W294" s="22" t="s"/>
      <c r="X294" s="22" t="s"/>
      <c r="Y294" s="22" t="s"/>
      <c r="Z294" s="22" t="s"/>
    </row>
    <row r="295" spans="1:26" ht="16.8" customHeight="true">
      <c r="A295" s="232" t="s"/>
      <c r="B295" s="30" t="s"/>
      <c r="C295" s="30" t="s"/>
      <c r="D295" s="30" t="s"/>
      <c r="E295" s="31" t="s"/>
      <c r="F295" s="22" t="s"/>
      <c r="G295" s="22" t="s"/>
      <c r="H295" s="22" t="s"/>
      <c r="I295" s="22" t="s"/>
      <c r="J295" s="22" t="s"/>
      <c r="K295" s="22" t="s"/>
      <c r="L295" s="22" t="s"/>
      <c r="M295" s="22" t="s"/>
      <c r="N295" s="22" t="s"/>
      <c r="O295" s="22" t="s"/>
      <c r="P295" s="22" t="s"/>
      <c r="Q295" s="22" t="s"/>
      <c r="R295" s="22" t="s"/>
      <c r="S295" s="22" t="s"/>
      <c r="T295" s="22" t="s"/>
      <c r="U295" s="22" t="s"/>
      <c r="V295" s="22" t="s"/>
      <c r="W295" s="22" t="s"/>
      <c r="X295" s="22" t="s"/>
      <c r="Y295" s="22" t="s"/>
      <c r="Z295" s="22" t="s"/>
    </row>
    <row r="296" spans="1:26" ht="16.8" customHeight="true">
      <c r="A296" s="232" t="s"/>
      <c r="B296" s="30" t="s"/>
      <c r="C296" s="30" t="s"/>
      <c r="D296" s="30" t="s"/>
      <c r="E296" s="31" t="s"/>
      <c r="F296" s="22" t="s"/>
      <c r="G296" s="22" t="s"/>
      <c r="H296" s="22" t="s"/>
      <c r="I296" s="22" t="s"/>
      <c r="J296" s="22" t="s"/>
      <c r="K296" s="22" t="s"/>
      <c r="L296" s="22" t="s"/>
      <c r="M296" s="22" t="s"/>
      <c r="N296" s="22" t="s"/>
      <c r="O296" s="22" t="s"/>
      <c r="P296" s="22" t="s"/>
      <c r="Q296" s="22" t="s"/>
      <c r="R296" s="22" t="s"/>
      <c r="S296" s="22" t="s"/>
      <c r="T296" s="22" t="s"/>
      <c r="U296" s="22" t="s"/>
      <c r="V296" s="22" t="s"/>
      <c r="W296" s="22" t="s"/>
      <c r="X296" s="22" t="s"/>
      <c r="Y296" s="22" t="s"/>
      <c r="Z296" s="22" t="s"/>
    </row>
    <row r="297" spans="1:26" ht="16.8" customHeight="true">
      <c r="A297" s="232" t="s"/>
      <c r="B297" s="30" t="s"/>
      <c r="C297" s="30" t="s"/>
      <c r="D297" s="30" t="s"/>
      <c r="E297" s="31" t="s"/>
      <c r="F297" s="22" t="s"/>
      <c r="G297" s="22" t="s"/>
      <c r="H297" s="22" t="s"/>
      <c r="I297" s="22" t="s"/>
      <c r="J297" s="22" t="s"/>
      <c r="K297" s="22" t="s"/>
      <c r="L297" s="22" t="s"/>
      <c r="M297" s="22" t="s"/>
      <c r="N297" s="22" t="s"/>
      <c r="O297" s="22" t="s"/>
      <c r="P297" s="22" t="s"/>
      <c r="Q297" s="22" t="s"/>
      <c r="R297" s="22" t="s"/>
      <c r="S297" s="22" t="s"/>
      <c r="T297" s="22" t="s"/>
      <c r="U297" s="22" t="s"/>
      <c r="V297" s="22" t="s"/>
      <c r="W297" s="22" t="s"/>
      <c r="X297" s="22" t="s"/>
      <c r="Y297" s="22" t="s"/>
      <c r="Z297" s="22" t="s"/>
    </row>
    <row r="298" spans="1:26" ht="16.8" customHeight="true">
      <c r="A298" s="232" t="s"/>
      <c r="B298" s="30" t="s"/>
      <c r="C298" s="30" t="s"/>
      <c r="D298" s="30" t="s"/>
      <c r="E298" s="31" t="s"/>
      <c r="F298" s="22" t="s"/>
      <c r="G298" s="22" t="s"/>
      <c r="H298" s="22" t="s"/>
      <c r="I298" s="22" t="s"/>
      <c r="J298" s="22" t="s"/>
      <c r="K298" s="22" t="s"/>
      <c r="L298" s="22" t="s"/>
      <c r="M298" s="22" t="s"/>
      <c r="N298" s="22" t="s"/>
      <c r="O298" s="22" t="s"/>
      <c r="P298" s="22" t="s"/>
      <c r="Q298" s="22" t="s"/>
      <c r="R298" s="22" t="s"/>
      <c r="S298" s="22" t="s"/>
      <c r="T298" s="22" t="s"/>
      <c r="U298" s="22" t="s"/>
      <c r="V298" s="22" t="s"/>
      <c r="W298" s="22" t="s"/>
      <c r="X298" s="22" t="s"/>
      <c r="Y298" s="22" t="s"/>
      <c r="Z298" s="22" t="s"/>
    </row>
    <row r="299" spans="1:26" ht="16.8" customHeight="true">
      <c r="A299" s="232" t="s"/>
      <c r="B299" s="30" t="s"/>
      <c r="C299" s="30" t="s"/>
      <c r="D299" s="30" t="s"/>
      <c r="E299" s="31" t="s"/>
      <c r="F299" s="22" t="s"/>
      <c r="G299" s="22" t="s"/>
      <c r="H299" s="22" t="s"/>
      <c r="I299" s="22" t="s"/>
      <c r="J299" s="22" t="s"/>
      <c r="K299" s="22" t="s"/>
      <c r="L299" s="22" t="s"/>
      <c r="M299" s="22" t="s"/>
      <c r="N299" s="22" t="s"/>
      <c r="O299" s="22" t="s"/>
      <c r="P299" s="22" t="s"/>
      <c r="Q299" s="22" t="s"/>
      <c r="R299" s="22" t="s"/>
      <c r="S299" s="22" t="s"/>
      <c r="T299" s="22" t="s"/>
      <c r="U299" s="22" t="s"/>
      <c r="V299" s="22" t="s"/>
      <c r="W299" s="22" t="s"/>
      <c r="X299" s="22" t="s"/>
      <c r="Y299" s="22" t="s"/>
      <c r="Z299" s="22" t="s"/>
    </row>
    <row r="300" spans="1:26" ht="16.8" customHeight="true">
      <c r="A300" s="232" t="s"/>
      <c r="B300" s="30" t="s"/>
      <c r="C300" s="30" t="s"/>
      <c r="D300" s="30" t="s"/>
      <c r="E300" s="31" t="s"/>
      <c r="F300" s="22" t="s"/>
      <c r="G300" s="22" t="s"/>
      <c r="H300" s="22" t="s"/>
      <c r="I300" s="22" t="s"/>
      <c r="J300" s="22" t="s"/>
      <c r="K300" s="22" t="s"/>
      <c r="L300" s="22" t="s"/>
      <c r="M300" s="22" t="s"/>
      <c r="N300" s="22" t="s"/>
      <c r="O300" s="22" t="s"/>
      <c r="P300" s="22" t="s"/>
      <c r="Q300" s="22" t="s"/>
      <c r="R300" s="22" t="s"/>
      <c r="S300" s="22" t="s"/>
      <c r="T300" s="22" t="s"/>
      <c r="U300" s="22" t="s"/>
      <c r="V300" s="22" t="s"/>
      <c r="W300" s="22" t="s"/>
      <c r="X300" s="22" t="s"/>
      <c r="Y300" s="22" t="s"/>
      <c r="Z300" s="22" t="s"/>
    </row>
    <row r="301" spans="1:26" ht="16.8" customHeight="true">
      <c r="A301" s="232" t="s"/>
      <c r="B301" s="30" t="s"/>
      <c r="C301" s="30" t="s"/>
      <c r="D301" s="30" t="s"/>
      <c r="E301" s="31" t="s"/>
      <c r="F301" s="22" t="s"/>
      <c r="G301" s="22" t="s"/>
      <c r="H301" s="22" t="s"/>
      <c r="I301" s="22" t="s"/>
      <c r="J301" s="22" t="s"/>
      <c r="K301" s="22" t="s"/>
      <c r="L301" s="22" t="s"/>
      <c r="M301" s="22" t="s"/>
      <c r="N301" s="22" t="s"/>
      <c r="O301" s="22" t="s"/>
      <c r="P301" s="22" t="s"/>
      <c r="Q301" s="22" t="s"/>
      <c r="R301" s="22" t="s"/>
      <c r="S301" s="22" t="s"/>
      <c r="T301" s="22" t="s"/>
      <c r="U301" s="22" t="s"/>
      <c r="V301" s="22" t="s"/>
      <c r="W301" s="22" t="s"/>
      <c r="X301" s="22" t="s"/>
      <c r="Y301" s="22" t="s"/>
      <c r="Z301" s="22" t="s"/>
    </row>
    <row r="302" spans="1:26" ht="16.8" customHeight="true">
      <c r="A302" s="232" t="s"/>
      <c r="B302" s="30" t="s"/>
      <c r="C302" s="30" t="s"/>
      <c r="D302" s="30" t="s"/>
      <c r="E302" s="31" t="s"/>
      <c r="F302" s="22" t="s"/>
      <c r="G302" s="22" t="s"/>
      <c r="H302" s="22" t="s"/>
      <c r="I302" s="22" t="s"/>
      <c r="J302" s="22" t="s"/>
      <c r="K302" s="22" t="s"/>
      <c r="L302" s="22" t="s"/>
      <c r="M302" s="22" t="s"/>
      <c r="N302" s="22" t="s"/>
      <c r="O302" s="22" t="s"/>
      <c r="P302" s="22" t="s"/>
      <c r="Q302" s="22" t="s"/>
      <c r="R302" s="22" t="s"/>
      <c r="S302" s="22" t="s"/>
      <c r="T302" s="22" t="s"/>
      <c r="U302" s="22" t="s"/>
      <c r="V302" s="22" t="s"/>
      <c r="W302" s="22" t="s"/>
      <c r="X302" s="22" t="s"/>
      <c r="Y302" s="22" t="s"/>
      <c r="Z302" s="22" t="s"/>
    </row>
    <row r="303" spans="1:26" ht="16.8" customHeight="true">
      <c r="A303" s="232" t="s"/>
      <c r="B303" s="30" t="s"/>
      <c r="C303" s="30" t="s"/>
      <c r="D303" s="30" t="s"/>
      <c r="E303" s="31" t="s"/>
      <c r="F303" s="22" t="s"/>
      <c r="G303" s="22" t="s"/>
      <c r="H303" s="22" t="s"/>
      <c r="I303" s="22" t="s"/>
      <c r="J303" s="22" t="s"/>
      <c r="K303" s="22" t="s"/>
      <c r="L303" s="22" t="s"/>
      <c r="M303" s="22" t="s"/>
      <c r="N303" s="22" t="s"/>
      <c r="O303" s="22" t="s"/>
      <c r="P303" s="22" t="s"/>
      <c r="Q303" s="22" t="s"/>
      <c r="R303" s="22" t="s"/>
      <c r="S303" s="22" t="s"/>
      <c r="T303" s="22" t="s"/>
      <c r="U303" s="22" t="s"/>
      <c r="V303" s="22" t="s"/>
      <c r="W303" s="22" t="s"/>
      <c r="X303" s="22" t="s"/>
      <c r="Y303" s="22" t="s"/>
      <c r="Z303" s="22" t="s"/>
    </row>
    <row r="304" spans="1:26" ht="16.8" customHeight="true">
      <c r="A304" s="232" t="s"/>
      <c r="B304" s="30" t="s"/>
      <c r="C304" s="30" t="s"/>
      <c r="D304" s="30" t="s"/>
      <c r="E304" s="31" t="s"/>
      <c r="F304" s="22" t="s"/>
      <c r="G304" s="22" t="s"/>
      <c r="H304" s="22" t="s"/>
      <c r="I304" s="22" t="s"/>
      <c r="J304" s="22" t="s"/>
      <c r="K304" s="22" t="s"/>
      <c r="L304" s="22" t="s"/>
      <c r="M304" s="22" t="s"/>
      <c r="N304" s="22" t="s"/>
      <c r="O304" s="22" t="s"/>
      <c r="P304" s="22" t="s"/>
      <c r="Q304" s="22" t="s"/>
      <c r="R304" s="22" t="s"/>
      <c r="S304" s="22" t="s"/>
      <c r="T304" s="22" t="s"/>
      <c r="U304" s="22" t="s"/>
      <c r="V304" s="22" t="s"/>
      <c r="W304" s="22" t="s"/>
      <c r="X304" s="22" t="s"/>
      <c r="Y304" s="22" t="s"/>
      <c r="Z304" s="22" t="s"/>
    </row>
    <row r="305" spans="1:26" ht="16.8" customHeight="true">
      <c r="A305" s="232" t="s"/>
      <c r="B305" s="30" t="s"/>
      <c r="C305" s="30" t="s"/>
      <c r="D305" s="30" t="s"/>
      <c r="E305" s="31" t="s"/>
      <c r="F305" s="22" t="s"/>
      <c r="G305" s="22" t="s"/>
      <c r="H305" s="22" t="s"/>
      <c r="I305" s="22" t="s"/>
      <c r="J305" s="22" t="s"/>
      <c r="K305" s="22" t="s"/>
      <c r="L305" s="22" t="s"/>
      <c r="M305" s="22" t="s"/>
      <c r="N305" s="22" t="s"/>
      <c r="O305" s="22" t="s"/>
      <c r="P305" s="22" t="s"/>
      <c r="Q305" s="22" t="s"/>
      <c r="R305" s="22" t="s"/>
      <c r="S305" s="22" t="s"/>
      <c r="T305" s="22" t="s"/>
      <c r="U305" s="22" t="s"/>
      <c r="V305" s="22" t="s"/>
      <c r="W305" s="22" t="s"/>
      <c r="X305" s="22" t="s"/>
      <c r="Y305" s="22" t="s"/>
      <c r="Z305" s="22" t="s"/>
    </row>
    <row r="306" spans="1:26" ht="16.8" customHeight="true">
      <c r="A306" s="232" t="s"/>
      <c r="B306" s="30" t="s"/>
      <c r="C306" s="30" t="s"/>
      <c r="D306" s="30" t="s"/>
      <c r="E306" s="31" t="s"/>
      <c r="F306" s="22" t="s"/>
      <c r="G306" s="22" t="s"/>
      <c r="H306" s="22" t="s"/>
      <c r="I306" s="22" t="s"/>
      <c r="J306" s="22" t="s"/>
      <c r="K306" s="22" t="s"/>
      <c r="L306" s="22" t="s"/>
      <c r="M306" s="22" t="s"/>
      <c r="N306" s="22" t="s"/>
      <c r="O306" s="22" t="s"/>
      <c r="P306" s="22" t="s"/>
      <c r="Q306" s="22" t="s"/>
      <c r="R306" s="22" t="s"/>
      <c r="S306" s="22" t="s"/>
      <c r="T306" s="22" t="s"/>
      <c r="U306" s="22" t="s"/>
      <c r="V306" s="22" t="s"/>
      <c r="W306" s="22" t="s"/>
      <c r="X306" s="22" t="s"/>
      <c r="Y306" s="22" t="s"/>
      <c r="Z306" s="22" t="s"/>
    </row>
    <row r="307" spans="1:26" ht="16.8" customHeight="true">
      <c r="A307" s="232" t="s"/>
      <c r="B307" s="30" t="s"/>
      <c r="C307" s="30" t="s"/>
      <c r="D307" s="30" t="s"/>
      <c r="E307" s="31" t="s"/>
      <c r="F307" s="22" t="s"/>
      <c r="G307" s="22" t="s"/>
      <c r="H307" s="22" t="s"/>
      <c r="I307" s="22" t="s"/>
      <c r="J307" s="22" t="s"/>
      <c r="K307" s="22" t="s"/>
      <c r="L307" s="22" t="s"/>
      <c r="M307" s="22" t="s"/>
      <c r="N307" s="22" t="s"/>
      <c r="O307" s="22" t="s"/>
      <c r="P307" s="22" t="s"/>
      <c r="Q307" s="22" t="s"/>
      <c r="R307" s="22" t="s"/>
      <c r="S307" s="22" t="s"/>
      <c r="T307" s="22" t="s"/>
      <c r="U307" s="22" t="s"/>
      <c r="V307" s="22" t="s"/>
      <c r="W307" s="22" t="s"/>
      <c r="X307" s="22" t="s"/>
      <c r="Y307" s="22" t="s"/>
      <c r="Z307" s="22" t="s"/>
    </row>
    <row r="308" spans="1:26" ht="16.8" customHeight="true">
      <c r="A308" s="232" t="s"/>
      <c r="B308" s="30" t="s"/>
      <c r="C308" s="30" t="s"/>
      <c r="D308" s="30" t="s"/>
      <c r="E308" s="31" t="s"/>
      <c r="F308" s="22" t="s"/>
      <c r="G308" s="22" t="s"/>
      <c r="H308" s="22" t="s"/>
      <c r="I308" s="22" t="s"/>
      <c r="J308" s="22" t="s"/>
      <c r="K308" s="22" t="s"/>
      <c r="L308" s="22" t="s"/>
      <c r="M308" s="22" t="s"/>
      <c r="N308" s="22" t="s"/>
      <c r="O308" s="22" t="s"/>
      <c r="P308" s="22" t="s"/>
      <c r="Q308" s="22" t="s"/>
      <c r="R308" s="22" t="s"/>
      <c r="S308" s="22" t="s"/>
      <c r="T308" s="22" t="s"/>
      <c r="U308" s="22" t="s"/>
      <c r="V308" s="22" t="s"/>
      <c r="W308" s="22" t="s"/>
      <c r="X308" s="22" t="s"/>
      <c r="Y308" s="22" t="s"/>
      <c r="Z308" s="22" t="s"/>
    </row>
    <row r="309" spans="1:26" ht="16.8" customHeight="true">
      <c r="A309" s="232" t="s"/>
      <c r="B309" s="30" t="s"/>
      <c r="C309" s="30" t="s"/>
      <c r="D309" s="30" t="s"/>
      <c r="E309" s="31" t="s"/>
      <c r="F309" s="22" t="s"/>
      <c r="G309" s="22" t="s"/>
      <c r="H309" s="22" t="s"/>
      <c r="I309" s="22" t="s"/>
      <c r="J309" s="22" t="s"/>
      <c r="K309" s="22" t="s"/>
      <c r="L309" s="22" t="s"/>
      <c r="M309" s="22" t="s"/>
      <c r="N309" s="22" t="s"/>
      <c r="O309" s="22" t="s"/>
      <c r="P309" s="22" t="s"/>
      <c r="Q309" s="22" t="s"/>
      <c r="R309" s="22" t="s"/>
      <c r="S309" s="22" t="s"/>
      <c r="T309" s="22" t="s"/>
      <c r="U309" s="22" t="s"/>
      <c r="V309" s="22" t="s"/>
      <c r="W309" s="22" t="s"/>
      <c r="X309" s="22" t="s"/>
      <c r="Y309" s="22" t="s"/>
      <c r="Z309" s="22" t="s"/>
    </row>
    <row r="310" spans="1:26" ht="16.8" customHeight="true">
      <c r="A310" s="232" t="s"/>
      <c r="B310" s="30" t="s"/>
      <c r="C310" s="30" t="s"/>
      <c r="D310" s="30" t="s"/>
      <c r="E310" s="31" t="s"/>
      <c r="F310" s="22" t="s"/>
      <c r="G310" s="22" t="s"/>
      <c r="H310" s="22" t="s"/>
      <c r="I310" s="22" t="s"/>
      <c r="J310" s="22" t="s"/>
      <c r="K310" s="22" t="s"/>
      <c r="L310" s="22" t="s"/>
      <c r="M310" s="22" t="s"/>
      <c r="N310" s="22" t="s"/>
      <c r="O310" s="22" t="s"/>
      <c r="P310" s="22" t="s"/>
      <c r="Q310" s="22" t="s"/>
      <c r="R310" s="22" t="s"/>
      <c r="S310" s="22" t="s"/>
      <c r="T310" s="22" t="s"/>
      <c r="U310" s="22" t="s"/>
      <c r="V310" s="22" t="s"/>
      <c r="W310" s="22" t="s"/>
      <c r="X310" s="22" t="s"/>
      <c r="Y310" s="22" t="s"/>
      <c r="Z310" s="22" t="s"/>
    </row>
    <row r="311" spans="1:26" ht="16.8" customHeight="true">
      <c r="A311" s="232" t="s"/>
      <c r="B311" s="30" t="s"/>
      <c r="C311" s="30" t="s"/>
      <c r="D311" s="30" t="s"/>
      <c r="E311" s="31" t="s"/>
      <c r="F311" s="22" t="s"/>
      <c r="G311" s="22" t="s"/>
      <c r="H311" s="22" t="s"/>
      <c r="I311" s="22" t="s"/>
      <c r="J311" s="22" t="s"/>
      <c r="K311" s="22" t="s"/>
      <c r="L311" s="22" t="s"/>
      <c r="M311" s="22" t="s"/>
      <c r="N311" s="22" t="s"/>
      <c r="O311" s="22" t="s"/>
      <c r="P311" s="22" t="s"/>
      <c r="Q311" s="22" t="s"/>
      <c r="R311" s="22" t="s"/>
      <c r="S311" s="22" t="s"/>
      <c r="T311" s="22" t="s"/>
      <c r="U311" s="22" t="s"/>
      <c r="V311" s="22" t="s"/>
      <c r="W311" s="22" t="s"/>
      <c r="X311" s="22" t="s"/>
      <c r="Y311" s="22" t="s"/>
      <c r="Z311" s="22" t="s"/>
    </row>
    <row r="312" spans="1:26" ht="16.8" customHeight="true">
      <c r="A312" s="232" t="s"/>
      <c r="B312" s="30" t="s"/>
      <c r="C312" s="30" t="s"/>
      <c r="D312" s="30" t="s"/>
      <c r="E312" s="31" t="s"/>
      <c r="F312" s="22" t="s"/>
      <c r="G312" s="22" t="s"/>
      <c r="H312" s="22" t="s"/>
      <c r="I312" s="22" t="s"/>
      <c r="J312" s="22" t="s"/>
      <c r="K312" s="22" t="s"/>
      <c r="L312" s="22" t="s"/>
      <c r="M312" s="22" t="s"/>
      <c r="N312" s="22" t="s"/>
      <c r="O312" s="22" t="s"/>
      <c r="P312" s="22" t="s"/>
      <c r="Q312" s="22" t="s"/>
      <c r="R312" s="22" t="s"/>
      <c r="S312" s="22" t="s"/>
      <c r="T312" s="22" t="s"/>
      <c r="U312" s="22" t="s"/>
      <c r="V312" s="22" t="s"/>
      <c r="W312" s="22" t="s"/>
      <c r="X312" s="22" t="s"/>
      <c r="Y312" s="22" t="s"/>
      <c r="Z312" s="22" t="s"/>
    </row>
    <row r="313" spans="1:26" ht="16.8" customHeight="true">
      <c r="A313" s="232" t="s"/>
      <c r="B313" s="30" t="s"/>
      <c r="C313" s="30" t="s"/>
      <c r="D313" s="30" t="s"/>
      <c r="E313" s="31" t="s"/>
      <c r="F313" s="22" t="s"/>
      <c r="G313" s="22" t="s"/>
      <c r="H313" s="22" t="s"/>
      <c r="I313" s="22" t="s"/>
      <c r="J313" s="22" t="s"/>
      <c r="K313" s="22" t="s"/>
      <c r="L313" s="22" t="s"/>
      <c r="M313" s="22" t="s"/>
      <c r="N313" s="22" t="s"/>
      <c r="O313" s="22" t="s"/>
      <c r="P313" s="22" t="s"/>
      <c r="Q313" s="22" t="s"/>
      <c r="R313" s="22" t="s"/>
      <c r="S313" s="22" t="s"/>
      <c r="T313" s="22" t="s"/>
      <c r="U313" s="22" t="s"/>
      <c r="V313" s="22" t="s"/>
      <c r="W313" s="22" t="s"/>
      <c r="X313" s="22" t="s"/>
      <c r="Y313" s="22" t="s"/>
      <c r="Z313" s="22" t="s"/>
    </row>
    <row r="314" spans="1:26" ht="16.8" customHeight="true">
      <c r="A314" s="232" t="s"/>
      <c r="B314" s="30" t="s"/>
      <c r="C314" s="30" t="s"/>
      <c r="D314" s="30" t="s"/>
      <c r="E314" s="31" t="s"/>
      <c r="F314" s="22" t="s"/>
      <c r="G314" s="22" t="s"/>
      <c r="H314" s="22" t="s"/>
      <c r="I314" s="22" t="s"/>
      <c r="J314" s="22" t="s"/>
      <c r="K314" s="22" t="s"/>
      <c r="L314" s="22" t="s"/>
      <c r="M314" s="22" t="s"/>
      <c r="N314" s="22" t="s"/>
      <c r="O314" s="22" t="s"/>
      <c r="P314" s="22" t="s"/>
      <c r="Q314" s="22" t="s"/>
      <c r="R314" s="22" t="s"/>
      <c r="S314" s="22" t="s"/>
      <c r="T314" s="22" t="s"/>
      <c r="U314" s="22" t="s"/>
      <c r="V314" s="22" t="s"/>
      <c r="W314" s="22" t="s"/>
      <c r="X314" s="22" t="s"/>
      <c r="Y314" s="22" t="s"/>
      <c r="Z314" s="22" t="s"/>
    </row>
    <row r="315" spans="1:26" ht="16.8" customHeight="true">
      <c r="A315" s="232" t="s"/>
      <c r="B315" s="30" t="s"/>
      <c r="C315" s="30" t="s"/>
      <c r="D315" s="30" t="s"/>
      <c r="E315" s="31" t="s"/>
      <c r="F315" s="22" t="s"/>
      <c r="G315" s="22" t="s"/>
      <c r="H315" s="22" t="s"/>
      <c r="I315" s="22" t="s"/>
      <c r="J315" s="22" t="s"/>
      <c r="K315" s="22" t="s"/>
      <c r="L315" s="22" t="s"/>
      <c r="M315" s="22" t="s"/>
      <c r="N315" s="22" t="s"/>
      <c r="O315" s="22" t="s"/>
      <c r="P315" s="22" t="s"/>
      <c r="Q315" s="22" t="s"/>
      <c r="R315" s="22" t="s"/>
      <c r="S315" s="22" t="s"/>
      <c r="T315" s="22" t="s"/>
      <c r="U315" s="22" t="s"/>
      <c r="V315" s="22" t="s"/>
      <c r="W315" s="22" t="s"/>
      <c r="X315" s="22" t="s"/>
      <c r="Y315" s="22" t="s"/>
      <c r="Z315" s="22" t="s"/>
    </row>
    <row r="316" spans="1:26" ht="16.8" customHeight="true">
      <c r="A316" s="232" t="s"/>
      <c r="B316" s="30" t="s"/>
      <c r="C316" s="30" t="s"/>
      <c r="D316" s="30" t="s"/>
      <c r="E316" s="31" t="s"/>
      <c r="F316" s="22" t="s"/>
      <c r="G316" s="22" t="s"/>
      <c r="H316" s="22" t="s"/>
      <c r="I316" s="22" t="s"/>
      <c r="J316" s="22" t="s"/>
      <c r="K316" s="22" t="s"/>
      <c r="L316" s="22" t="s"/>
      <c r="M316" s="22" t="s"/>
      <c r="N316" s="22" t="s"/>
      <c r="O316" s="22" t="s"/>
      <c r="P316" s="22" t="s"/>
      <c r="Q316" s="22" t="s"/>
      <c r="R316" s="22" t="s"/>
      <c r="S316" s="22" t="s"/>
      <c r="T316" s="22" t="s"/>
      <c r="U316" s="22" t="s"/>
      <c r="V316" s="22" t="s"/>
      <c r="W316" s="22" t="s"/>
      <c r="X316" s="22" t="s"/>
      <c r="Y316" s="22" t="s"/>
      <c r="Z316" s="22" t="s"/>
    </row>
    <row r="317" spans="1:26" ht="16.8" customHeight="true">
      <c r="A317" s="232" t="s"/>
      <c r="B317" s="30" t="s"/>
      <c r="C317" s="30" t="s"/>
      <c r="D317" s="30" t="s"/>
      <c r="E317" s="31" t="s"/>
      <c r="F317" s="22" t="s"/>
      <c r="G317" s="22" t="s"/>
      <c r="H317" s="22" t="s"/>
      <c r="I317" s="22" t="s"/>
      <c r="J317" s="22" t="s"/>
      <c r="K317" s="22" t="s"/>
      <c r="L317" s="22" t="s"/>
      <c r="M317" s="22" t="s"/>
      <c r="N317" s="22" t="s"/>
      <c r="O317" s="22" t="s"/>
      <c r="P317" s="22" t="s"/>
      <c r="Q317" s="22" t="s"/>
      <c r="R317" s="22" t="s"/>
      <c r="S317" s="22" t="s"/>
      <c r="T317" s="22" t="s"/>
      <c r="U317" s="22" t="s"/>
      <c r="V317" s="22" t="s"/>
      <c r="W317" s="22" t="s"/>
      <c r="X317" s="22" t="s"/>
      <c r="Y317" s="22" t="s"/>
      <c r="Z317" s="22" t="s"/>
    </row>
    <row r="318" spans="1:26" ht="16.8" customHeight="true">
      <c r="A318" s="232" t="s"/>
      <c r="B318" s="30" t="s"/>
      <c r="C318" s="30" t="s"/>
      <c r="D318" s="30" t="s"/>
      <c r="E318" s="31" t="s"/>
      <c r="F318" s="22" t="s"/>
      <c r="G318" s="22" t="s"/>
      <c r="H318" s="22" t="s"/>
      <c r="I318" s="22" t="s"/>
      <c r="J318" s="22" t="s"/>
      <c r="K318" s="22" t="s"/>
      <c r="L318" s="22" t="s"/>
      <c r="M318" s="22" t="s"/>
      <c r="N318" s="22" t="s"/>
      <c r="O318" s="22" t="s"/>
      <c r="P318" s="22" t="s"/>
      <c r="Q318" s="22" t="s"/>
      <c r="R318" s="22" t="s"/>
      <c r="S318" s="22" t="s"/>
      <c r="T318" s="22" t="s"/>
      <c r="U318" s="22" t="s"/>
      <c r="V318" s="22" t="s"/>
      <c r="W318" s="22" t="s"/>
      <c r="X318" s="22" t="s"/>
      <c r="Y318" s="22" t="s"/>
      <c r="Z318" s="22" t="s"/>
    </row>
    <row r="319" spans="1:26" ht="16.8" customHeight="true">
      <c r="A319" s="232" t="s"/>
      <c r="B319" s="30" t="s"/>
      <c r="C319" s="30" t="s"/>
      <c r="D319" s="30" t="s"/>
      <c r="E319" s="31" t="s"/>
      <c r="F319" s="22" t="s"/>
      <c r="G319" s="22" t="s"/>
      <c r="H319" s="22" t="s"/>
      <c r="I319" s="22" t="s"/>
      <c r="J319" s="22" t="s"/>
      <c r="K319" s="22" t="s"/>
      <c r="L319" s="22" t="s"/>
      <c r="M319" s="22" t="s"/>
      <c r="N319" s="22" t="s"/>
      <c r="O319" s="22" t="s"/>
      <c r="P319" s="22" t="s"/>
      <c r="Q319" s="22" t="s"/>
      <c r="R319" s="22" t="s"/>
      <c r="S319" s="22" t="s"/>
      <c r="T319" s="22" t="s"/>
      <c r="U319" s="22" t="s"/>
      <c r="V319" s="22" t="s"/>
      <c r="W319" s="22" t="s"/>
      <c r="X319" s="22" t="s"/>
      <c r="Y319" s="22" t="s"/>
      <c r="Z319" s="22" t="s"/>
    </row>
    <row r="320" spans="1:26" ht="16.8" customHeight="true">
      <c r="A320" s="232" t="s"/>
      <c r="B320" s="30" t="s"/>
      <c r="C320" s="30" t="s"/>
      <c r="D320" s="30" t="s"/>
      <c r="E320" s="31" t="s"/>
      <c r="F320" s="22" t="s"/>
      <c r="G320" s="22" t="s"/>
      <c r="H320" s="22" t="s"/>
      <c r="I320" s="22" t="s"/>
      <c r="J320" s="22" t="s"/>
      <c r="K320" s="22" t="s"/>
      <c r="L320" s="22" t="s"/>
      <c r="M320" s="22" t="s"/>
      <c r="N320" s="22" t="s"/>
      <c r="O320" s="22" t="s"/>
      <c r="P320" s="22" t="s"/>
      <c r="Q320" s="22" t="s"/>
      <c r="R320" s="22" t="s"/>
      <c r="S320" s="22" t="s"/>
      <c r="T320" s="22" t="s"/>
      <c r="U320" s="22" t="s"/>
      <c r="V320" s="22" t="s"/>
      <c r="W320" s="22" t="s"/>
      <c r="X320" s="22" t="s"/>
      <c r="Y320" s="22" t="s"/>
      <c r="Z320" s="22" t="s"/>
    </row>
    <row r="321" spans="1:26" ht="16.8" customHeight="true">
      <c r="A321" s="232" t="s"/>
      <c r="B321" s="30" t="s"/>
      <c r="C321" s="30" t="s"/>
      <c r="D321" s="30" t="s"/>
      <c r="E321" s="31" t="s"/>
      <c r="F321" s="22" t="s"/>
      <c r="G321" s="22" t="s"/>
      <c r="H321" s="22" t="s"/>
      <c r="I321" s="22" t="s"/>
      <c r="J321" s="22" t="s"/>
      <c r="K321" s="22" t="s"/>
      <c r="L321" s="22" t="s"/>
      <c r="M321" s="22" t="s"/>
      <c r="N321" s="22" t="s"/>
      <c r="O321" s="22" t="s"/>
      <c r="P321" s="22" t="s"/>
      <c r="Q321" s="22" t="s"/>
      <c r="R321" s="22" t="s"/>
      <c r="S321" s="22" t="s"/>
      <c r="T321" s="22" t="s"/>
      <c r="U321" s="22" t="s"/>
      <c r="V321" s="22" t="s"/>
      <c r="W321" s="22" t="s"/>
      <c r="X321" s="22" t="s"/>
      <c r="Y321" s="22" t="s"/>
      <c r="Z321" s="22" t="s"/>
    </row>
    <row r="322" spans="1:26" ht="16.8" customHeight="true">
      <c r="A322" s="232" t="s"/>
      <c r="B322" s="30" t="s"/>
      <c r="C322" s="30" t="s"/>
      <c r="D322" s="30" t="s"/>
      <c r="E322" s="31" t="s"/>
      <c r="F322" s="22" t="s"/>
      <c r="G322" s="22" t="s"/>
      <c r="H322" s="22" t="s"/>
      <c r="I322" s="22" t="s"/>
      <c r="J322" s="22" t="s"/>
      <c r="K322" s="22" t="s"/>
      <c r="L322" s="22" t="s"/>
      <c r="M322" s="22" t="s"/>
      <c r="N322" s="22" t="s"/>
      <c r="O322" s="22" t="s"/>
      <c r="P322" s="22" t="s"/>
      <c r="Q322" s="22" t="s"/>
      <c r="R322" s="22" t="s"/>
      <c r="S322" s="22" t="s"/>
      <c r="T322" s="22" t="s"/>
      <c r="U322" s="22" t="s"/>
      <c r="V322" s="22" t="s"/>
      <c r="W322" s="22" t="s"/>
      <c r="X322" s="22" t="s"/>
      <c r="Y322" s="22" t="s"/>
      <c r="Z322" s="22" t="s"/>
    </row>
    <row r="323" spans="1:26" ht="16.8" customHeight="true">
      <c r="A323" s="232" t="s"/>
      <c r="B323" s="30" t="s"/>
      <c r="C323" s="30" t="s"/>
      <c r="D323" s="30" t="s"/>
      <c r="E323" s="31" t="s"/>
      <c r="F323" s="22" t="s"/>
      <c r="G323" s="22" t="s"/>
      <c r="H323" s="22" t="s"/>
      <c r="I323" s="22" t="s"/>
      <c r="J323" s="22" t="s"/>
      <c r="K323" s="22" t="s"/>
      <c r="L323" s="22" t="s"/>
      <c r="M323" s="22" t="s"/>
      <c r="N323" s="22" t="s"/>
      <c r="O323" s="22" t="s"/>
      <c r="P323" s="22" t="s"/>
      <c r="Q323" s="22" t="s"/>
      <c r="R323" s="22" t="s"/>
      <c r="S323" s="22" t="s"/>
      <c r="T323" s="22" t="s"/>
      <c r="U323" s="22" t="s"/>
      <c r="V323" s="22" t="s"/>
      <c r="W323" s="22" t="s"/>
      <c r="X323" s="22" t="s"/>
      <c r="Y323" s="22" t="s"/>
      <c r="Z323" s="22" t="s"/>
    </row>
    <row r="324" spans="1:26" ht="16.8" customHeight="true">
      <c r="A324" s="232" t="s"/>
      <c r="B324" s="30" t="s"/>
      <c r="C324" s="30" t="s"/>
      <c r="D324" s="30" t="s"/>
      <c r="E324" s="31" t="s"/>
      <c r="F324" s="22" t="s"/>
      <c r="G324" s="22" t="s"/>
      <c r="H324" s="22" t="s"/>
      <c r="I324" s="22" t="s"/>
      <c r="J324" s="22" t="s"/>
      <c r="K324" s="22" t="s"/>
      <c r="L324" s="22" t="s"/>
      <c r="M324" s="22" t="s"/>
      <c r="N324" s="22" t="s"/>
      <c r="O324" s="22" t="s"/>
      <c r="P324" s="22" t="s"/>
      <c r="Q324" s="22" t="s"/>
      <c r="R324" s="22" t="s"/>
      <c r="S324" s="22" t="s"/>
      <c r="T324" s="22" t="s"/>
      <c r="U324" s="22" t="s"/>
      <c r="V324" s="22" t="s"/>
      <c r="W324" s="22" t="s"/>
      <c r="X324" s="22" t="s"/>
      <c r="Y324" s="22" t="s"/>
      <c r="Z324" s="22" t="s"/>
    </row>
    <row r="325" spans="1:26" ht="16.8" customHeight="true">
      <c r="A325" s="232" t="s"/>
      <c r="B325" s="30" t="s"/>
      <c r="C325" s="30" t="s"/>
      <c r="D325" s="30" t="s"/>
      <c r="E325" s="31" t="s"/>
      <c r="F325" s="22" t="s"/>
      <c r="G325" s="22" t="s"/>
      <c r="H325" s="22" t="s"/>
      <c r="I325" s="22" t="s"/>
      <c r="J325" s="22" t="s"/>
      <c r="K325" s="22" t="s"/>
      <c r="L325" s="22" t="s"/>
      <c r="M325" s="22" t="s"/>
      <c r="N325" s="22" t="s"/>
      <c r="O325" s="22" t="s"/>
      <c r="P325" s="22" t="s"/>
      <c r="Q325" s="22" t="s"/>
      <c r="R325" s="22" t="s"/>
      <c r="S325" s="22" t="s"/>
      <c r="T325" s="22" t="s"/>
      <c r="U325" s="22" t="s"/>
      <c r="V325" s="22" t="s"/>
      <c r="W325" s="22" t="s"/>
      <c r="X325" s="22" t="s"/>
      <c r="Y325" s="22" t="s"/>
      <c r="Z325" s="22" t="s"/>
    </row>
    <row r="326" spans="1:26" ht="16.8" customHeight="true">
      <c r="A326" s="232" t="s"/>
      <c r="B326" s="30" t="s"/>
      <c r="C326" s="30" t="s"/>
      <c r="D326" s="30" t="s"/>
      <c r="E326" s="31" t="s"/>
      <c r="F326" s="22" t="s"/>
      <c r="G326" s="22" t="s"/>
      <c r="H326" s="22" t="s"/>
      <c r="I326" s="22" t="s"/>
      <c r="J326" s="22" t="s"/>
      <c r="K326" s="22" t="s"/>
      <c r="L326" s="22" t="s"/>
      <c r="M326" s="22" t="s"/>
      <c r="N326" s="22" t="s"/>
      <c r="O326" s="22" t="s"/>
      <c r="P326" s="22" t="s"/>
      <c r="Q326" s="22" t="s"/>
      <c r="R326" s="22" t="s"/>
      <c r="S326" s="22" t="s"/>
      <c r="T326" s="22" t="s"/>
      <c r="U326" s="22" t="s"/>
      <c r="V326" s="22" t="s"/>
      <c r="W326" s="22" t="s"/>
      <c r="X326" s="22" t="s"/>
      <c r="Y326" s="22" t="s"/>
      <c r="Z326" s="22" t="s"/>
    </row>
    <row r="327" spans="1:26" ht="16.8" customHeight="true">
      <c r="A327" s="232" t="s"/>
      <c r="B327" s="30" t="s"/>
      <c r="C327" s="30" t="s"/>
      <c r="D327" s="30" t="s"/>
      <c r="E327" s="31" t="s"/>
      <c r="F327" s="22" t="s"/>
      <c r="G327" s="22" t="s"/>
      <c r="H327" s="22" t="s"/>
      <c r="I327" s="22" t="s"/>
      <c r="J327" s="22" t="s"/>
      <c r="K327" s="22" t="s"/>
      <c r="L327" s="22" t="s"/>
      <c r="M327" s="22" t="s"/>
      <c r="N327" s="22" t="s"/>
      <c r="O327" s="22" t="s"/>
      <c r="P327" s="22" t="s"/>
      <c r="Q327" s="22" t="s"/>
      <c r="R327" s="22" t="s"/>
      <c r="S327" s="22" t="s"/>
      <c r="T327" s="22" t="s"/>
      <c r="U327" s="22" t="s"/>
      <c r="V327" s="22" t="s"/>
      <c r="W327" s="22" t="s"/>
      <c r="X327" s="22" t="s"/>
      <c r="Y327" s="22" t="s"/>
      <c r="Z327" s="22" t="s"/>
    </row>
    <row r="328" spans="1:26" ht="16.8" customHeight="true">
      <c r="A328" s="232" t="s"/>
      <c r="B328" s="30" t="s"/>
      <c r="C328" s="30" t="s"/>
      <c r="D328" s="30" t="s"/>
      <c r="E328" s="31" t="s"/>
      <c r="F328" s="22" t="s"/>
      <c r="G328" s="22" t="s"/>
      <c r="H328" s="22" t="s"/>
      <c r="I328" s="22" t="s"/>
      <c r="J328" s="22" t="s"/>
      <c r="K328" s="22" t="s"/>
      <c r="L328" s="22" t="s"/>
      <c r="M328" s="22" t="s"/>
      <c r="N328" s="22" t="s"/>
      <c r="O328" s="22" t="s"/>
      <c r="P328" s="22" t="s"/>
      <c r="Q328" s="22" t="s"/>
      <c r="R328" s="22" t="s"/>
      <c r="S328" s="22" t="s"/>
      <c r="T328" s="22" t="s"/>
      <c r="U328" s="22" t="s"/>
      <c r="V328" s="22" t="s"/>
      <c r="W328" s="22" t="s"/>
      <c r="X328" s="22" t="s"/>
      <c r="Y328" s="22" t="s"/>
      <c r="Z328" s="22" t="s"/>
    </row>
    <row r="329" spans="1:26" ht="16.8" customHeight="true">
      <c r="A329" s="232" t="s"/>
      <c r="B329" s="30" t="s"/>
      <c r="C329" s="30" t="s"/>
      <c r="D329" s="30" t="s"/>
      <c r="E329" s="31" t="s"/>
      <c r="F329" s="22" t="s"/>
      <c r="G329" s="22" t="s"/>
      <c r="H329" s="22" t="s"/>
      <c r="I329" s="22" t="s"/>
      <c r="J329" s="22" t="s"/>
      <c r="K329" s="22" t="s"/>
      <c r="L329" s="22" t="s"/>
      <c r="M329" s="22" t="s"/>
      <c r="N329" s="22" t="s"/>
      <c r="O329" s="22" t="s"/>
      <c r="P329" s="22" t="s"/>
      <c r="Q329" s="22" t="s"/>
      <c r="R329" s="22" t="s"/>
      <c r="S329" s="22" t="s"/>
      <c r="T329" s="22" t="s"/>
      <c r="U329" s="22" t="s"/>
      <c r="V329" s="22" t="s"/>
      <c r="W329" s="22" t="s"/>
      <c r="X329" s="22" t="s"/>
      <c r="Y329" s="22" t="s"/>
      <c r="Z329" s="22" t="s"/>
    </row>
    <row r="330" spans="1:26" ht="16.8" customHeight="true">
      <c r="A330" s="232" t="s"/>
      <c r="B330" s="30" t="s"/>
      <c r="C330" s="30" t="s"/>
      <c r="D330" s="30" t="s"/>
      <c r="E330" s="31" t="s"/>
      <c r="F330" s="22" t="s"/>
      <c r="G330" s="22" t="s"/>
      <c r="H330" s="22" t="s"/>
      <c r="I330" s="22" t="s"/>
      <c r="J330" s="22" t="s"/>
      <c r="K330" s="22" t="s"/>
      <c r="L330" s="22" t="s"/>
      <c r="M330" s="22" t="s"/>
      <c r="N330" s="22" t="s"/>
      <c r="O330" s="22" t="s"/>
      <c r="P330" s="22" t="s"/>
      <c r="Q330" s="22" t="s"/>
      <c r="R330" s="22" t="s"/>
      <c r="S330" s="22" t="s"/>
      <c r="T330" s="22" t="s"/>
      <c r="U330" s="22" t="s"/>
      <c r="V330" s="22" t="s"/>
      <c r="W330" s="22" t="s"/>
      <c r="X330" s="22" t="s"/>
      <c r="Y330" s="22" t="s"/>
      <c r="Z330" s="22" t="s"/>
    </row>
    <row r="331" spans="1:26" ht="16.8" customHeight="true">
      <c r="A331" s="232" t="s"/>
      <c r="B331" s="30" t="s"/>
      <c r="C331" s="30" t="s"/>
      <c r="D331" s="30" t="s"/>
      <c r="E331" s="31" t="s"/>
      <c r="F331" s="22" t="s"/>
      <c r="G331" s="22" t="s"/>
      <c r="H331" s="22" t="s"/>
      <c r="I331" s="22" t="s"/>
      <c r="J331" s="22" t="s"/>
      <c r="K331" s="22" t="s"/>
      <c r="L331" s="22" t="s"/>
      <c r="M331" s="22" t="s"/>
      <c r="N331" s="22" t="s"/>
      <c r="O331" s="22" t="s"/>
      <c r="P331" s="22" t="s"/>
      <c r="Q331" s="22" t="s"/>
      <c r="R331" s="22" t="s"/>
      <c r="S331" s="22" t="s"/>
      <c r="T331" s="22" t="s"/>
      <c r="U331" s="22" t="s"/>
      <c r="V331" s="22" t="s"/>
      <c r="W331" s="22" t="s"/>
      <c r="X331" s="22" t="s"/>
      <c r="Y331" s="22" t="s"/>
      <c r="Z331" s="22" t="s"/>
    </row>
    <row r="332" spans="1:26" ht="16.8" customHeight="true">
      <c r="A332" s="232" t="s"/>
      <c r="B332" s="30" t="s"/>
      <c r="C332" s="30" t="s"/>
      <c r="D332" s="30" t="s"/>
      <c r="E332" s="31" t="s"/>
      <c r="F332" s="22" t="s"/>
      <c r="G332" s="22" t="s"/>
      <c r="H332" s="22" t="s"/>
      <c r="I332" s="22" t="s"/>
      <c r="J332" s="22" t="s"/>
      <c r="K332" s="22" t="s"/>
      <c r="L332" s="22" t="s"/>
      <c r="M332" s="22" t="s"/>
      <c r="N332" s="22" t="s"/>
      <c r="O332" s="22" t="s"/>
      <c r="P332" s="22" t="s"/>
      <c r="Q332" s="22" t="s"/>
      <c r="R332" s="22" t="s"/>
      <c r="S332" s="22" t="s"/>
      <c r="T332" s="22" t="s"/>
      <c r="U332" s="22" t="s"/>
      <c r="V332" s="22" t="s"/>
      <c r="W332" s="22" t="s"/>
      <c r="X332" s="22" t="s"/>
      <c r="Y332" s="22" t="s"/>
      <c r="Z332" s="22" t="s"/>
    </row>
    <row r="333" spans="1:26" ht="16.8" customHeight="true">
      <c r="A333" s="232" t="s"/>
      <c r="B333" s="30" t="s"/>
      <c r="C333" s="30" t="s"/>
      <c r="D333" s="30" t="s"/>
      <c r="E333" s="31" t="s"/>
      <c r="F333" s="22" t="s"/>
      <c r="G333" s="22" t="s"/>
      <c r="H333" s="22" t="s"/>
      <c r="I333" s="22" t="s"/>
      <c r="J333" s="22" t="s"/>
      <c r="K333" s="22" t="s"/>
      <c r="L333" s="22" t="s"/>
      <c r="M333" s="22" t="s"/>
      <c r="N333" s="22" t="s"/>
      <c r="O333" s="22" t="s"/>
      <c r="P333" s="22" t="s"/>
      <c r="Q333" s="22" t="s"/>
      <c r="R333" s="22" t="s"/>
      <c r="S333" s="22" t="s"/>
      <c r="T333" s="22" t="s"/>
      <c r="U333" s="22" t="s"/>
      <c r="V333" s="22" t="s"/>
      <c r="W333" s="22" t="s"/>
      <c r="X333" s="22" t="s"/>
      <c r="Y333" s="22" t="s"/>
      <c r="Z333" s="22" t="s"/>
    </row>
    <row r="334" spans="1:26" ht="16.8" customHeight="true">
      <c r="A334" s="232" t="s"/>
      <c r="B334" s="30" t="s"/>
      <c r="C334" s="30" t="s"/>
      <c r="D334" s="30" t="s"/>
      <c r="E334" s="31" t="s"/>
      <c r="F334" s="22" t="s"/>
      <c r="G334" s="22" t="s"/>
      <c r="H334" s="22" t="s"/>
      <c r="I334" s="22" t="s"/>
      <c r="J334" s="22" t="s"/>
      <c r="K334" s="22" t="s"/>
      <c r="L334" s="22" t="s"/>
      <c r="M334" s="22" t="s"/>
      <c r="N334" s="22" t="s"/>
      <c r="O334" s="22" t="s"/>
      <c r="P334" s="22" t="s"/>
      <c r="Q334" s="22" t="s"/>
      <c r="R334" s="22" t="s"/>
      <c r="S334" s="22" t="s"/>
      <c r="T334" s="22" t="s"/>
      <c r="U334" s="22" t="s"/>
      <c r="V334" s="22" t="s"/>
      <c r="W334" s="22" t="s"/>
      <c r="X334" s="22" t="s"/>
      <c r="Y334" s="22" t="s"/>
      <c r="Z334" s="22" t="s"/>
    </row>
    <row r="335" spans="1:26" ht="16.8" customHeight="true">
      <c r="A335" s="232" t="s"/>
      <c r="B335" s="30" t="s"/>
      <c r="C335" s="30" t="s"/>
      <c r="D335" s="30" t="s"/>
      <c r="E335" s="31" t="s"/>
      <c r="F335" s="22" t="s"/>
      <c r="G335" s="22" t="s"/>
      <c r="H335" s="22" t="s"/>
      <c r="I335" s="22" t="s"/>
      <c r="J335" s="22" t="s"/>
      <c r="K335" s="22" t="s"/>
      <c r="L335" s="22" t="s"/>
      <c r="M335" s="22" t="s"/>
      <c r="N335" s="22" t="s"/>
      <c r="O335" s="22" t="s"/>
      <c r="P335" s="22" t="s"/>
      <c r="Q335" s="22" t="s"/>
      <c r="R335" s="22" t="s"/>
      <c r="S335" s="22" t="s"/>
      <c r="T335" s="22" t="s"/>
      <c r="U335" s="22" t="s"/>
      <c r="V335" s="22" t="s"/>
      <c r="W335" s="22" t="s"/>
      <c r="X335" s="22" t="s"/>
      <c r="Y335" s="22" t="s"/>
      <c r="Z335" s="22" t="s"/>
    </row>
    <row r="336" spans="1:26" ht="16.8" customHeight="true">
      <c r="A336" s="232" t="s"/>
      <c r="B336" s="30" t="s"/>
      <c r="C336" s="30" t="s"/>
      <c r="D336" s="30" t="s"/>
      <c r="E336" s="31" t="s"/>
      <c r="F336" s="22" t="s"/>
      <c r="G336" s="22" t="s"/>
      <c r="H336" s="22" t="s"/>
      <c r="I336" s="22" t="s"/>
      <c r="J336" s="22" t="s"/>
      <c r="K336" s="22" t="s"/>
      <c r="L336" s="22" t="s"/>
      <c r="M336" s="22" t="s"/>
      <c r="N336" s="22" t="s"/>
      <c r="O336" s="22" t="s"/>
      <c r="P336" s="22" t="s"/>
      <c r="Q336" s="22" t="s"/>
      <c r="R336" s="22" t="s"/>
      <c r="S336" s="22" t="s"/>
      <c r="T336" s="22" t="s"/>
      <c r="U336" s="22" t="s"/>
      <c r="V336" s="22" t="s"/>
      <c r="W336" s="22" t="s"/>
      <c r="X336" s="22" t="s"/>
      <c r="Y336" s="22" t="s"/>
      <c r="Z336" s="22" t="s"/>
    </row>
    <row r="337" spans="1:26" ht="16.8" customHeight="true">
      <c r="A337" s="232" t="s"/>
      <c r="B337" s="30" t="s"/>
      <c r="C337" s="30" t="s"/>
      <c r="D337" s="30" t="s"/>
      <c r="E337" s="31" t="s"/>
      <c r="F337" s="22" t="s"/>
      <c r="G337" s="22" t="s"/>
      <c r="H337" s="22" t="s"/>
      <c r="I337" s="22" t="s"/>
      <c r="J337" s="22" t="s"/>
      <c r="K337" s="22" t="s"/>
      <c r="L337" s="22" t="s"/>
      <c r="M337" s="22" t="s"/>
      <c r="N337" s="22" t="s"/>
      <c r="O337" s="22" t="s"/>
      <c r="P337" s="22" t="s"/>
      <c r="Q337" s="22" t="s"/>
      <c r="R337" s="22" t="s"/>
      <c r="S337" s="22" t="s"/>
      <c r="T337" s="22" t="s"/>
      <c r="U337" s="22" t="s"/>
      <c r="V337" s="22" t="s"/>
      <c r="W337" s="22" t="s"/>
      <c r="X337" s="22" t="s"/>
      <c r="Y337" s="22" t="s"/>
      <c r="Z337" s="22" t="s"/>
    </row>
    <row r="338" spans="1:26" ht="16.8" customHeight="true">
      <c r="A338" s="233" t="s"/>
      <c r="B338" s="33" t="s"/>
      <c r="C338" s="33" t="s"/>
      <c r="D338" s="33" t="s"/>
      <c r="E338" s="34" t="s"/>
      <c r="F338" s="22" t="s"/>
      <c r="G338" s="22" t="s"/>
      <c r="H338" s="22" t="s"/>
      <c r="I338" s="22" t="s"/>
      <c r="J338" s="22" t="s"/>
      <c r="K338" s="22" t="s"/>
      <c r="L338" s="22" t="s"/>
      <c r="M338" s="22" t="s"/>
      <c r="N338" s="22" t="s"/>
      <c r="O338" s="22" t="s"/>
      <c r="P338" s="22" t="s"/>
      <c r="Q338" s="22" t="s"/>
      <c r="R338" s="22" t="s"/>
      <c r="S338" s="22" t="s"/>
      <c r="T338" s="22" t="s"/>
      <c r="U338" s="22" t="s"/>
      <c r="V338" s="22" t="s"/>
      <c r="W338" s="22" t="s"/>
      <c r="X338" s="22" t="s"/>
      <c r="Y338" s="22" t="s"/>
      <c r="Z338" s="22" t="s"/>
    </row>
  </sheetData>
  <autoFilter ref="A2:E153">
    <sortState ref="A2:E180">
      <sortCondition sortBy="cellColor" ref="B2:B153" dxfId="0"/>
    </sortState>
  </autoFilter>
  <mergeCells count="1">
    <mergeCell ref="A154:E154"/>
  </mergeCells>
  <pageMargins left="0.75" right="0.75" top="1" bottom="1" header="0.5" footer="0.5"/>
  <pageSetup orientation="portrait" horizontalDpi="300" verticalDpi="300"/>
  <headerFooter alignWithMargins="false"/>
</worksheet>
</file>

<file path=xl/worksheets/sheet6.xml><?xml version="1.0" encoding="utf-8"?>
<worksheet xmlns="http://schemas.openxmlformats.org/spreadsheetml/2006/main">
  <sheetPr codeName="新三板激光公司">
    <tabColor/>
  </sheetPr>
  <dimension ref="V23"/>
  <sheetViews>
    <sheetView showGridLines="true" workbookViewId="0"/>
  </sheetViews>
  <sheetFormatPr baseColWidth="13" defaultRowHeight="18" customHeight="true"/>
  <cols>
    <col min="1" max="1" width="1.71094" customWidth="true"/>
    <col min="2" max="2" width="9.32031" customWidth="true"/>
    <col min="3" max="3" width="7.23047" customWidth="true"/>
    <col min="4" max="4" width="14.3516" style="384" customWidth="true"/>
    <col min="5" max="5" width="7.11328" customWidth="true"/>
    <col min="6" max="6" width="7.60156" customWidth="true"/>
    <col min="7" max="7" width="7.23047" customWidth="true"/>
    <col min="8" max="8" width="11.7109" customWidth="true"/>
    <col min="9" max="9" width="16.9297" customWidth="true"/>
    <col min="10" max="13" width="18.7109" customWidth="true"/>
    <col min="14" max="22" width="6.71094" customWidth="true"/>
  </cols>
  <sheetData>
    <row r="1" spans="1:22" hidden="true">
      <c r="A1" s="4" t="s"/>
      <c r="B1" s="4" t="s"/>
      <c r="C1" s="4" t="s"/>
      <c r="D1" s="5" t="s"/>
      <c r="E1" s="4" t="s"/>
      <c r="F1" s="4" t="s"/>
      <c r="G1" s="4" t="s"/>
      <c r="H1" s="4" t="s"/>
      <c r="I1" s="4" t="s"/>
      <c r="J1" s="5" t="s"/>
      <c r="K1" s="5" t="s"/>
      <c r="L1" s="5" t="s"/>
      <c r="M1" s="5" t="s"/>
      <c r="N1" s="4" t="s"/>
      <c r="O1" s="4" t="s"/>
      <c r="P1" s="4" t="s"/>
      <c r="Q1" s="4" t="s"/>
      <c r="R1" s="4" t="s"/>
      <c r="S1" s="4" t="s"/>
      <c r="T1" s="4" t="s"/>
      <c r="U1" s="4" t="s"/>
      <c r="V1" s="4" t="s"/>
    </row>
    <row r="2" spans="1:22">
      <c r="A2" s="5" t="s"/>
      <c r="B2" s="6" t="s">
        <v>1</v>
      </c>
      <c r="C2" s="7" t="s"/>
      <c r="D2" s="7" t="s"/>
      <c r="E2" s="7" t="s"/>
      <c r="F2" s="7" t="s"/>
      <c r="G2" s="7" t="s"/>
      <c r="H2" s="7" t="s"/>
      <c r="I2" s="7" t="s"/>
      <c r="J2" s="8" t="s">
        <v>2</v>
      </c>
      <c r="K2" s="9" t="s"/>
      <c r="L2" s="9" t="s"/>
      <c r="M2" s="9" t="s"/>
      <c r="N2" s="10" t="s">
        <v>3</v>
      </c>
      <c r="O2" s="11" t="s"/>
      <c r="P2" s="11" t="s"/>
      <c r="Q2" s="11" t="s"/>
      <c r="R2" s="11" t="s"/>
      <c r="S2" s="11" t="s"/>
      <c r="T2" s="11" t="s"/>
      <c r="U2" s="11" t="s"/>
      <c r="V2" s="11" t="s"/>
    </row>
    <row r="3" spans="1:22">
      <c r="A3" s="5" t="s"/>
      <c r="B3" s="10" t="s">
        <v>4</v>
      </c>
      <c r="C3" s="10" t="s">
        <v>5</v>
      </c>
      <c r="D3" s="10" t="s">
        <v>6</v>
      </c>
      <c r="E3" s="10" t="s">
        <v>7</v>
      </c>
      <c r="F3" s="10" t="s">
        <v>8</v>
      </c>
      <c r="G3" s="10" t="s">
        <v>9</v>
      </c>
      <c r="H3" s="10" t="s">
        <v>10</v>
      </c>
      <c r="I3" s="10" t="s">
        <v>11</v>
      </c>
      <c r="J3" s="10" t="s">
        <v>12</v>
      </c>
      <c r="K3" s="10" t="s">
        <v>13</v>
      </c>
      <c r="L3" s="10" t="s">
        <v>14</v>
      </c>
      <c r="M3" s="10" t="s">
        <v>15</v>
      </c>
      <c r="N3" s="10" t="s">
        <v>16</v>
      </c>
      <c r="O3" s="10" t="s">
        <v>17</v>
      </c>
      <c r="P3" s="10" t="s">
        <v>18</v>
      </c>
      <c r="Q3" s="10" t="s">
        <v>19</v>
      </c>
      <c r="R3" s="10" t="s">
        <v>20</v>
      </c>
      <c r="S3" s="10" t="s">
        <v>21</v>
      </c>
      <c r="T3" s="10" t="s">
        <v>22</v>
      </c>
      <c r="U3" s="10" t="s">
        <v>23</v>
      </c>
      <c r="V3" s="10" t="s">
        <v>24</v>
      </c>
    </row>
    <row r="4" spans="1:22" ht="79.5" customHeight="true">
      <c r="A4" s="4" t="s"/>
      <c r="B4" s="12" t="s">
        <v>25</v>
      </c>
      <c r="C4" s="13" t="s">
        <v>26</v>
      </c>
      <c r="D4" s="14" t="s">
        <v>27</v>
      </c>
      <c r="E4" s="12" t="s">
        <v>28</v>
      </c>
      <c r="F4" s="12" t="s">
        <v>29</v>
      </c>
      <c r="G4" s="12" t="s">
        <v>30</v>
      </c>
      <c r="H4" s="15">
        <v>20250721</v>
      </c>
      <c r="I4" s="16" t="s">
        <v>31</v>
      </c>
      <c r="J4" s="14" t="s">
        <v>32</v>
      </c>
      <c r="K4" s="14" t="s">
        <v>33</v>
      </c>
      <c r="L4" s="14" t="s">
        <v>34</v>
      </c>
      <c r="M4" s="14" t="s">
        <v>35</v>
      </c>
      <c r="N4" s="17">
        <v>13.2957</v>
      </c>
      <c r="O4" s="17">
        <v>12.963</v>
      </c>
      <c r="P4" s="17">
        <v>7.1016</v>
      </c>
      <c r="Q4" s="17">
        <v>1.1126</v>
      </c>
      <c r="R4" s="17">
        <v>1.0281</v>
      </c>
      <c r="S4" s="17">
        <v>0.5505</v>
      </c>
      <c r="T4" s="17">
        <v>30.2851</v>
      </c>
      <c r="U4" s="17">
        <v>31.5478</v>
      </c>
      <c r="V4" s="17">
        <v>30.8901</v>
      </c>
    </row>
    <row r="5" spans="1:22" ht="79.5" customHeight="true">
      <c r="A5" s="4" t="s"/>
      <c r="B5" s="12" t="s">
        <v>36</v>
      </c>
      <c r="C5" s="12" t="s">
        <v>37</v>
      </c>
      <c r="D5" s="14" t="s">
        <v>38</v>
      </c>
      <c r="E5" s="12" t="s">
        <v>39</v>
      </c>
      <c r="F5" s="12" t="s">
        <v>29</v>
      </c>
      <c r="G5" s="12" t="s">
        <v>30</v>
      </c>
      <c r="H5" s="15">
        <v>20250718</v>
      </c>
      <c r="I5" s="16" t="s">
        <v>40</v>
      </c>
      <c r="J5" s="14" t="s">
        <v>41</v>
      </c>
      <c r="K5" s="14" t="s">
        <v>42</v>
      </c>
      <c r="L5" s="14" t="s">
        <v>43</v>
      </c>
      <c r="M5" s="14" t="s">
        <v>44</v>
      </c>
      <c r="N5" s="17">
        <v>1.4118</v>
      </c>
      <c r="O5" s="17">
        <v>2.3</v>
      </c>
      <c r="P5" s="17">
        <v>1.2981</v>
      </c>
      <c r="Q5" s="17">
        <v>-0.0045</v>
      </c>
      <c r="R5" s="17">
        <v>0.348</v>
      </c>
      <c r="S5" s="17">
        <v>0.2157</v>
      </c>
      <c r="T5" s="17">
        <v>33.0322</v>
      </c>
      <c r="U5" s="17">
        <v>42.077</v>
      </c>
      <c r="V5" s="17">
        <v>46.5895</v>
      </c>
    </row>
    <row r="6" spans="1:22" ht="79.5" customHeight="true">
      <c r="A6" s="4" t="s"/>
      <c r="B6" s="12" t="s">
        <v>45</v>
      </c>
      <c r="C6" s="12" t="s">
        <v>46</v>
      </c>
      <c r="D6" s="14" t="s">
        <v>47</v>
      </c>
      <c r="E6" s="12" t="s">
        <v>39</v>
      </c>
      <c r="F6" s="12" t="s">
        <v>29</v>
      </c>
      <c r="G6" s="12" t="s">
        <v>30</v>
      </c>
      <c r="H6" s="15">
        <v>20251117</v>
      </c>
      <c r="I6" s="18" t="s">
        <v>48</v>
      </c>
      <c r="J6" s="14" t="s">
        <v>49</v>
      </c>
      <c r="K6" s="14" t="s">
        <v>50</v>
      </c>
      <c r="L6" s="14" t="s">
        <v>51</v>
      </c>
      <c r="M6" s="14" t="s">
        <v>52</v>
      </c>
      <c r="N6" s="17">
        <v>7.228</v>
      </c>
      <c r="O6" s="17">
        <v>7.8433</v>
      </c>
      <c r="P6" s="17" t="s">
        <v>53</v>
      </c>
      <c r="Q6" s="17">
        <v>0.2828</v>
      </c>
      <c r="R6" s="17">
        <v>0.7124</v>
      </c>
      <c r="S6" s="17" t="s">
        <v>53</v>
      </c>
      <c r="T6" s="17">
        <v>17.3389</v>
      </c>
      <c r="U6" s="17">
        <v>21.8945</v>
      </c>
      <c r="V6" s="17" t="s">
        <v>53</v>
      </c>
    </row>
    <row r="7" spans="1:22" ht="79.5" customHeight="true">
      <c r="A7" s="4" t="s"/>
      <c r="B7" s="12" t="s">
        <v>54</v>
      </c>
      <c r="C7" s="12" t="s">
        <v>55</v>
      </c>
      <c r="D7" s="14" t="s">
        <v>56</v>
      </c>
      <c r="E7" s="12" t="s">
        <v>28</v>
      </c>
      <c r="F7" s="12" t="s">
        <v>29</v>
      </c>
      <c r="G7" s="12" t="s">
        <v>30</v>
      </c>
      <c r="H7" s="15">
        <v>20161220</v>
      </c>
      <c r="I7" s="16" t="s">
        <v>57</v>
      </c>
      <c r="J7" s="14" t="s">
        <v>58</v>
      </c>
      <c r="K7" s="14" t="s">
        <v>59</v>
      </c>
      <c r="L7" s="14" t="s">
        <v>60</v>
      </c>
      <c r="M7" s="14" t="s">
        <v>61</v>
      </c>
      <c r="N7" s="17">
        <v>2.2538</v>
      </c>
      <c r="O7" s="17">
        <v>1.029</v>
      </c>
      <c r="P7" s="17">
        <v>0.4922</v>
      </c>
      <c r="Q7" s="17">
        <v>0.32</v>
      </c>
      <c r="R7" s="17">
        <v>-0.2035</v>
      </c>
      <c r="S7" s="17">
        <v>-0.092</v>
      </c>
      <c r="T7" s="17">
        <v>44.2631</v>
      </c>
      <c r="U7" s="17">
        <v>36.8444</v>
      </c>
      <c r="V7" s="17">
        <v>35.3864</v>
      </c>
    </row>
    <row r="8" spans="1:22" ht="79.5" customHeight="true">
      <c r="A8" s="4" t="s"/>
      <c r="B8" s="12" t="s">
        <v>62</v>
      </c>
      <c r="C8" s="12" t="s">
        <v>63</v>
      </c>
      <c r="D8" s="14" t="s">
        <v>64</v>
      </c>
      <c r="E8" s="12" t="s">
        <v>39</v>
      </c>
      <c r="F8" s="12" t="s">
        <v>29</v>
      </c>
      <c r="G8" s="12" t="s">
        <v>30</v>
      </c>
      <c r="H8" s="15">
        <v>20171117</v>
      </c>
      <c r="I8" s="18" t="s">
        <v>65</v>
      </c>
      <c r="J8" s="14" t="s">
        <v>66</v>
      </c>
      <c r="K8" s="14" t="s">
        <v>67</v>
      </c>
      <c r="L8" s="14" t="s">
        <v>68</v>
      </c>
      <c r="M8" s="14" t="s">
        <v>69</v>
      </c>
      <c r="N8" s="17">
        <v>0.3621</v>
      </c>
      <c r="O8" s="17">
        <v>0.3063</v>
      </c>
      <c r="P8" s="17">
        <v>0.1133</v>
      </c>
      <c r="Q8" s="17">
        <v>0.0066</v>
      </c>
      <c r="R8" s="17">
        <v>-0.02</v>
      </c>
      <c r="S8" s="17">
        <v>-0.0097</v>
      </c>
      <c r="T8" s="17">
        <v>34.7103</v>
      </c>
      <c r="U8" s="17">
        <v>31.0107</v>
      </c>
      <c r="V8" s="17">
        <v>34.7518</v>
      </c>
    </row>
    <row r="9" spans="1:22" ht="79.5" customHeight="true">
      <c r="A9" s="4" t="s"/>
      <c r="B9" s="12" t="s">
        <v>70</v>
      </c>
      <c r="C9" s="12" t="s">
        <v>71</v>
      </c>
      <c r="D9" s="14" t="s">
        <v>72</v>
      </c>
      <c r="E9" s="12" t="s">
        <v>39</v>
      </c>
      <c r="F9" s="12" t="s">
        <v>29</v>
      </c>
      <c r="G9" s="12" t="s">
        <v>30</v>
      </c>
      <c r="H9" s="15">
        <v>20260116</v>
      </c>
      <c r="I9" s="19" t="s"/>
      <c r="J9" s="14" t="s">
        <v>73</v>
      </c>
      <c r="K9" s="14" t="s">
        <v>74</v>
      </c>
      <c r="L9" s="14" t="s">
        <v>75</v>
      </c>
      <c r="M9" s="14" t="s">
        <v>76</v>
      </c>
      <c r="N9" s="20">
        <v>1.2362</v>
      </c>
      <c r="O9" s="20">
        <v>1.3894</v>
      </c>
      <c r="P9" s="20" t="s">
        <v>53</v>
      </c>
      <c r="Q9" s="20">
        <v>0.1934</v>
      </c>
      <c r="R9" s="20">
        <v>0.2762</v>
      </c>
      <c r="S9" s="20" t="s">
        <v>53</v>
      </c>
      <c r="T9" s="20">
        <v>45.8682</v>
      </c>
      <c r="U9" s="20">
        <v>48.652</v>
      </c>
      <c r="V9" s="20" t="s">
        <v>53</v>
      </c>
    </row>
    <row r="10" spans="1:22" ht="79.5" customHeight="true">
      <c r="A10" s="4" t="s"/>
      <c r="B10" s="12" t="s">
        <v>77</v>
      </c>
      <c r="C10" s="12" t="s">
        <v>78</v>
      </c>
      <c r="D10" s="14" t="s">
        <v>79</v>
      </c>
      <c r="E10" s="12" t="s">
        <v>39</v>
      </c>
      <c r="F10" s="12" t="s">
        <v>29</v>
      </c>
      <c r="G10" s="12" t="s">
        <v>30</v>
      </c>
      <c r="H10" s="15">
        <v>20251013</v>
      </c>
      <c r="I10" s="19" t="s"/>
      <c r="J10" s="14" t="s">
        <v>80</v>
      </c>
      <c r="K10" s="14" t="s">
        <v>81</v>
      </c>
      <c r="L10" s="14" t="s">
        <v>82</v>
      </c>
      <c r="M10" s="14" t="s">
        <v>83</v>
      </c>
      <c r="N10" s="20">
        <v>1.2663</v>
      </c>
      <c r="O10" s="20">
        <v>1.4609</v>
      </c>
      <c r="P10" s="20" t="s">
        <v>53</v>
      </c>
      <c r="Q10" s="20">
        <v>-0.1491</v>
      </c>
      <c r="R10" s="20">
        <v>-0.2294</v>
      </c>
      <c r="S10" s="20" t="s">
        <v>53</v>
      </c>
      <c r="T10" s="20">
        <v>21.3155</v>
      </c>
      <c r="U10" s="20">
        <v>19.3156</v>
      </c>
      <c r="V10" s="20" t="s">
        <v>53</v>
      </c>
    </row>
    <row r="11" spans="1:22" ht="79.5" customHeight="true">
      <c r="A11" s="4" t="s"/>
      <c r="B11" s="12" t="s">
        <v>84</v>
      </c>
      <c r="C11" s="12" t="s">
        <v>85</v>
      </c>
      <c r="D11" s="14" t="s">
        <v>86</v>
      </c>
      <c r="E11" s="12" t="s">
        <v>39</v>
      </c>
      <c r="F11" s="12" t="s">
        <v>29</v>
      </c>
      <c r="G11" s="12" t="s">
        <v>30</v>
      </c>
      <c r="H11" s="15">
        <v>20210930</v>
      </c>
      <c r="I11" s="19" t="s"/>
      <c r="J11" s="14" t="s">
        <v>87</v>
      </c>
      <c r="K11" s="14" t="s">
        <v>88</v>
      </c>
      <c r="L11" s="14" t="s">
        <v>89</v>
      </c>
      <c r="M11" s="14" t="s">
        <v>90</v>
      </c>
      <c r="N11" s="20">
        <v>0.0624</v>
      </c>
      <c r="O11" s="20">
        <v>0.0382</v>
      </c>
      <c r="P11" s="20">
        <v>0.0013</v>
      </c>
      <c r="Q11" s="20">
        <v>-0.008</v>
      </c>
      <c r="R11" s="20">
        <v>-0.0134</v>
      </c>
      <c r="S11" s="20">
        <v>-0.0037</v>
      </c>
      <c r="T11" s="20">
        <v>24.8919</v>
      </c>
      <c r="U11" s="20">
        <v>21.121</v>
      </c>
      <c r="V11" s="20">
        <v>39.1892</v>
      </c>
    </row>
    <row r="12" spans="1:22" ht="79.5" customHeight="true">
      <c r="A12" s="4" t="s"/>
      <c r="B12" s="12" t="s">
        <v>91</v>
      </c>
      <c r="C12" s="12" t="s">
        <v>92</v>
      </c>
      <c r="D12" s="14" t="s">
        <v>93</v>
      </c>
      <c r="E12" s="12" t="s">
        <v>39</v>
      </c>
      <c r="F12" s="12" t="s">
        <v>29</v>
      </c>
      <c r="G12" s="12" t="s">
        <v>30</v>
      </c>
      <c r="H12" s="15">
        <v>20200602</v>
      </c>
      <c r="I12" s="19" t="s"/>
      <c r="J12" s="14" t="s">
        <v>94</v>
      </c>
      <c r="K12" s="14" t="s">
        <v>95</v>
      </c>
      <c r="L12" s="14" t="s">
        <v>96</v>
      </c>
      <c r="M12" s="14" t="s">
        <v>97</v>
      </c>
      <c r="N12" s="20">
        <v>0.3506</v>
      </c>
      <c r="O12" s="20">
        <v>0.3484</v>
      </c>
      <c r="P12" s="20">
        <v>0.1758</v>
      </c>
      <c r="Q12" s="20">
        <v>0.0087</v>
      </c>
      <c r="R12" s="20">
        <v>-0.0066</v>
      </c>
      <c r="S12" s="20">
        <v>0.0109</v>
      </c>
      <c r="T12" s="20">
        <v>15.3485</v>
      </c>
      <c r="U12" s="20">
        <v>20.4178</v>
      </c>
      <c r="V12" s="20">
        <v>21.829</v>
      </c>
    </row>
    <row r="13" spans="1:22" ht="79.5" customHeight="true">
      <c r="A13" s="4" t="s"/>
      <c r="B13" s="12" t="s">
        <v>98</v>
      </c>
      <c r="C13" s="12" t="s">
        <v>99</v>
      </c>
      <c r="D13" s="14" t="s">
        <v>100</v>
      </c>
      <c r="E13" s="12" t="s">
        <v>39</v>
      </c>
      <c r="F13" s="12" t="s">
        <v>29</v>
      </c>
      <c r="G13" s="12" t="s">
        <v>30</v>
      </c>
      <c r="H13" s="15">
        <v>20180802</v>
      </c>
      <c r="I13" s="19" t="s"/>
      <c r="J13" s="14" t="s">
        <v>101</v>
      </c>
      <c r="K13" s="14" t="s">
        <v>102</v>
      </c>
      <c r="L13" s="14" t="s">
        <v>103</v>
      </c>
      <c r="M13" s="14" t="s">
        <v>104</v>
      </c>
      <c r="N13" s="20">
        <v>0.1996</v>
      </c>
      <c r="O13" s="20">
        <v>0.1958</v>
      </c>
      <c r="P13" s="20">
        <v>0.1083</v>
      </c>
      <c r="Q13" s="20">
        <v>-0.0077</v>
      </c>
      <c r="R13" s="20">
        <v>-0.0272</v>
      </c>
      <c r="S13" s="20">
        <v>-0.0185</v>
      </c>
      <c r="T13" s="20">
        <v>13.5978</v>
      </c>
      <c r="U13" s="20">
        <v>11.6581</v>
      </c>
      <c r="V13" s="20">
        <v>13.2503</v>
      </c>
    </row>
    <row r="14" spans="1:22" ht="79.5" customHeight="true">
      <c r="A14" s="4" t="s"/>
      <c r="B14" s="12" t="s">
        <v>105</v>
      </c>
      <c r="C14" s="12" t="s">
        <v>106</v>
      </c>
      <c r="D14" s="14" t="s">
        <v>107</v>
      </c>
      <c r="E14" s="12" t="s">
        <v>28</v>
      </c>
      <c r="F14" s="12" t="s">
        <v>29</v>
      </c>
      <c r="G14" s="12" t="s">
        <v>30</v>
      </c>
      <c r="H14" s="15">
        <v>20170112</v>
      </c>
      <c r="I14" s="19" t="s"/>
      <c r="J14" s="14" t="s">
        <v>108</v>
      </c>
      <c r="K14" s="14" t="s">
        <v>109</v>
      </c>
      <c r="L14" s="14" t="s">
        <v>110</v>
      </c>
      <c r="M14" s="14" t="s">
        <v>111</v>
      </c>
      <c r="N14" s="20">
        <v>1.5248</v>
      </c>
      <c r="O14" s="20">
        <v>2.9489</v>
      </c>
      <c r="P14" s="20">
        <v>1.5753</v>
      </c>
      <c r="Q14" s="20">
        <v>0.3184</v>
      </c>
      <c r="R14" s="20">
        <v>0.8878</v>
      </c>
      <c r="S14" s="20">
        <v>0.5264</v>
      </c>
      <c r="T14" s="20">
        <v>49.9089</v>
      </c>
      <c r="U14" s="20">
        <v>53.8561</v>
      </c>
      <c r="V14" s="20">
        <v>56.5102</v>
      </c>
    </row>
    <row r="15" spans="1:22" ht="79.5" customHeight="true">
      <c r="A15" s="4" t="s"/>
      <c r="B15" s="12" t="s">
        <v>112</v>
      </c>
      <c r="C15" s="12" t="s">
        <v>113</v>
      </c>
      <c r="D15" s="14" t="s">
        <v>114</v>
      </c>
      <c r="E15" s="12" t="s">
        <v>28</v>
      </c>
      <c r="F15" s="12" t="s">
        <v>29</v>
      </c>
      <c r="G15" s="12" t="s">
        <v>30</v>
      </c>
      <c r="H15" s="15">
        <v>20150930</v>
      </c>
      <c r="I15" s="19" t="s"/>
      <c r="J15" s="14" t="s">
        <v>115</v>
      </c>
      <c r="K15" s="14" t="s">
        <v>116</v>
      </c>
      <c r="L15" s="14" t="s">
        <v>117</v>
      </c>
      <c r="M15" s="14" t="s">
        <v>118</v>
      </c>
      <c r="N15" s="20">
        <v>0.7801</v>
      </c>
      <c r="O15" s="20">
        <v>0.8298</v>
      </c>
      <c r="P15" s="20">
        <v>0.4112</v>
      </c>
      <c r="Q15" s="20">
        <v>0.265</v>
      </c>
      <c r="R15" s="20">
        <v>0.2583</v>
      </c>
      <c r="S15" s="20">
        <v>0.1127</v>
      </c>
      <c r="T15" s="20">
        <v>49.5226</v>
      </c>
      <c r="U15" s="20">
        <v>48.213</v>
      </c>
      <c r="V15" s="20">
        <v>47.5424</v>
      </c>
    </row>
    <row r="16" spans="1:22" ht="79.5" customHeight="true">
      <c r="A16" s="4" t="s"/>
      <c r="B16" s="12" t="s">
        <v>119</v>
      </c>
      <c r="C16" s="12" t="s">
        <v>120</v>
      </c>
      <c r="D16" s="14" t="s">
        <v>121</v>
      </c>
      <c r="E16" s="12" t="s">
        <v>39</v>
      </c>
      <c r="F16" s="12" t="s">
        <v>122</v>
      </c>
      <c r="G16" s="12" t="s">
        <v>30</v>
      </c>
      <c r="H16" s="15">
        <v>20140829</v>
      </c>
      <c r="I16" s="19" t="s"/>
      <c r="J16" s="14" t="s">
        <v>123</v>
      </c>
      <c r="K16" s="14" t="s">
        <v>124</v>
      </c>
      <c r="L16" s="14" t="s">
        <v>125</v>
      </c>
      <c r="M16" s="14" t="s">
        <v>126</v>
      </c>
      <c r="N16" s="20">
        <v>1.6749</v>
      </c>
      <c r="O16" s="20">
        <v>1.5871</v>
      </c>
      <c r="P16" s="20">
        <v>1.3175</v>
      </c>
      <c r="Q16" s="20">
        <v>0.1581</v>
      </c>
      <c r="R16" s="20">
        <v>-0.0003</v>
      </c>
      <c r="S16" s="20">
        <v>0.0605</v>
      </c>
      <c r="T16" s="20">
        <v>21.763</v>
      </c>
      <c r="U16" s="20">
        <v>17.4221</v>
      </c>
      <c r="V16" s="20">
        <v>16.7413</v>
      </c>
    </row>
    <row r="17" spans="1:22" ht="79.5" customHeight="true">
      <c r="A17" s="4" t="s"/>
      <c r="B17" s="12" t="s">
        <v>127</v>
      </c>
      <c r="C17" s="12" t="s">
        <v>128</v>
      </c>
      <c r="D17" s="14" t="s">
        <v>129</v>
      </c>
      <c r="E17" s="12" t="s">
        <v>39</v>
      </c>
      <c r="F17" s="12" t="s">
        <v>29</v>
      </c>
      <c r="G17" s="12" t="s">
        <v>30</v>
      </c>
      <c r="H17" s="15">
        <v>20140124</v>
      </c>
      <c r="I17" s="19" t="s"/>
      <c r="J17" s="14" t="s">
        <v>130</v>
      </c>
      <c r="K17" s="14" t="s">
        <v>131</v>
      </c>
      <c r="L17" s="14" t="s">
        <v>132</v>
      </c>
      <c r="M17" s="14" t="s">
        <v>133</v>
      </c>
      <c r="N17" s="20">
        <v>3.021</v>
      </c>
      <c r="O17" s="20">
        <v>3.2743</v>
      </c>
      <c r="P17" s="20">
        <v>1.602</v>
      </c>
      <c r="Q17" s="20">
        <v>-0.163</v>
      </c>
      <c r="R17" s="20">
        <v>0.1435</v>
      </c>
      <c r="S17" s="20">
        <v>0.0523</v>
      </c>
      <c r="T17" s="20">
        <v>30.7613</v>
      </c>
      <c r="U17" s="20">
        <v>35.9804</v>
      </c>
      <c r="V17" s="20">
        <v>30.3749</v>
      </c>
    </row>
    <row r="18" spans="1:22" ht="79.5" customHeight="true">
      <c r="A18" s="4" t="s"/>
      <c r="B18" s="4" t="s"/>
      <c r="C18" s="4" t="s"/>
      <c r="D18" s="5" t="s"/>
      <c r="E18" s="4" t="s"/>
      <c r="F18" s="4" t="s"/>
      <c r="G18" s="4" t="s"/>
      <c r="H18" s="4" t="s"/>
      <c r="I18" s="4" t="s"/>
      <c r="J18" s="5" t="s"/>
      <c r="K18" s="5" t="s"/>
      <c r="L18" s="5" t="s"/>
      <c r="M18" s="5" t="s"/>
      <c r="N18" s="4" t="s"/>
      <c r="O18" s="4" t="s"/>
      <c r="P18" s="4" t="s"/>
      <c r="Q18" s="4" t="s"/>
      <c r="R18" s="4" t="s"/>
      <c r="S18" s="4" t="s"/>
      <c r="T18" s="4" t="s"/>
      <c r="U18" s="4" t="s"/>
      <c r="V18" s="4" t="s"/>
    </row>
    <row r="19" spans="1:22" ht="79.5" customHeight="true">
      <c r="A19" s="4" t="s"/>
      <c r="B19" s="4" t="s"/>
      <c r="C19" s="4" t="s"/>
      <c r="D19" s="5" t="s"/>
      <c r="E19" s="4" t="s"/>
      <c r="F19" s="4" t="s"/>
      <c r="G19" s="4" t="s"/>
      <c r="H19" s="4" t="s"/>
      <c r="I19" s="4" t="s"/>
      <c r="J19" s="5" t="s"/>
      <c r="K19" s="5" t="s"/>
      <c r="L19" s="5" t="s"/>
      <c r="M19" s="5" t="s"/>
      <c r="N19" s="4" t="s"/>
      <c r="O19" s="4" t="s"/>
      <c r="P19" s="4" t="s"/>
      <c r="Q19" s="4" t="s"/>
      <c r="R19" s="4" t="s"/>
      <c r="S19" s="4" t="s"/>
      <c r="T19" s="4" t="s"/>
      <c r="U19" s="4" t="s"/>
      <c r="V19" s="4" t="s"/>
    </row>
    <row r="20" spans="1:22" ht="79.5" customHeight="true">
      <c r="A20" s="4" t="s"/>
      <c r="B20" s="4" t="s"/>
      <c r="C20" s="4" t="s"/>
      <c r="D20" s="5" t="s"/>
      <c r="E20" s="4" t="s"/>
      <c r="F20" s="4" t="s"/>
      <c r="G20" s="4" t="s"/>
      <c r="H20" s="4" t="s"/>
      <c r="I20" s="4" t="s"/>
      <c r="J20" s="5" t="s"/>
      <c r="K20" s="5" t="s"/>
      <c r="L20" s="5" t="s"/>
      <c r="M20" s="5" t="s"/>
      <c r="N20" s="4" t="s"/>
      <c r="O20" s="4" t="s"/>
      <c r="P20" s="4" t="s"/>
      <c r="Q20" s="4" t="s"/>
      <c r="R20" s="4" t="s"/>
      <c r="S20" s="4" t="s"/>
      <c r="T20" s="4" t="s"/>
      <c r="U20" s="4" t="s"/>
      <c r="V20" s="4" t="s"/>
    </row>
    <row r="21" spans="1:22" ht="79.5" customHeight="true">
      <c r="A21" s="4" t="s"/>
      <c r="B21" s="4" t="s"/>
      <c r="C21" s="4" t="s"/>
      <c r="D21" s="5" t="s"/>
      <c r="E21" s="4" t="s"/>
      <c r="F21" s="4" t="s"/>
      <c r="G21" s="4" t="s"/>
      <c r="H21" s="4" t="s"/>
      <c r="I21" s="4" t="s"/>
      <c r="J21" s="5" t="s"/>
      <c r="K21" s="5" t="s"/>
      <c r="L21" s="5" t="s"/>
      <c r="M21" s="5" t="s"/>
      <c r="N21" s="4" t="s"/>
      <c r="O21" s="4" t="s"/>
      <c r="P21" s="4" t="s"/>
      <c r="Q21" s="4" t="s"/>
      <c r="R21" s="4" t="s"/>
      <c r="S21" s="4" t="s"/>
      <c r="T21" s="4" t="s"/>
      <c r="U21" s="4" t="s"/>
      <c r="V21" s="4" t="s"/>
    </row>
    <row r="22" spans="1:22" ht="79.5" customHeight="true">
      <c r="A22" s="4" t="s"/>
      <c r="B22" s="4" t="s"/>
      <c r="C22" s="4" t="s"/>
      <c r="D22" s="5" t="s"/>
      <c r="E22" s="4" t="s"/>
      <c r="F22" s="4" t="s"/>
      <c r="G22" s="4" t="s"/>
      <c r="H22" s="4" t="s"/>
      <c r="I22" s="4" t="s"/>
      <c r="J22" s="5" t="s"/>
      <c r="K22" s="5" t="s"/>
      <c r="L22" s="5" t="s"/>
      <c r="M22" s="5" t="s"/>
      <c r="N22" s="4" t="s"/>
      <c r="O22" s="4" t="s"/>
      <c r="P22" s="4" t="s"/>
      <c r="Q22" s="4" t="s"/>
      <c r="R22" s="4" t="s"/>
      <c r="S22" s="4" t="s"/>
      <c r="T22" s="4" t="s"/>
      <c r="U22" s="4" t="s"/>
      <c r="V22" s="4" t="s"/>
    </row>
    <row r="23" spans="1:26" ht="79.5" customHeight="true"/>
  </sheetData>
  <mergeCells count="3">
    <mergeCell ref="B2:I2"/>
    <mergeCell ref="J2:M2"/>
    <mergeCell ref="N2:V2"/>
  </mergeCells>
</worksheet>
</file>

<file path=xl/worksheets/sheet7.xml><?xml version="1.0" encoding="utf-8"?>
<worksheet xmlns="http://schemas.openxmlformats.org/spreadsheetml/2006/main">
  <sheetPr codeName="光伏设备上市公司情况">
    <tabColor/>
  </sheetPr>
  <dimension ref="AB200"/>
  <sheetViews>
    <sheetView showGridLines="true" workbookViewId="0">
      <pane xSplit="3" ySplit="2" topLeftCell="D3" state="frozen"/>
    </sheetView>
  </sheetViews>
  <sheetFormatPr baseColWidth="13" defaultRowHeight="18" customHeight="true"/>
  <cols>
    <col min="1" max="2" width="20.7109" customWidth="true"/>
    <col min="3" max="3" width="14.7109" customWidth="true"/>
    <col min="4" max="4" width="14.7109" customWidth="true"/>
    <col min="5" max="6" width="15.7109" customWidth="true"/>
    <col min="7" max="7" width="48.7109" customWidth="true"/>
    <col min="8" max="8" width="59.7109" customWidth="true"/>
    <col min="9" max="9" width="40.7109" customWidth="true"/>
    <col min="10" max="10" width="32.7109" customWidth="true"/>
    <col min="11" max="13" width="10.7109" customWidth="true"/>
    <col min="14" max="14" width="14.7109" customWidth="true"/>
    <col min="15" max="16" width="10.7109" customWidth="true"/>
    <col min="17" max="17" width="9.71094" customWidth="true"/>
    <col min="18" max="20" width="11.7109" customWidth="true"/>
    <col min="21" max="21" width="35.7109" customWidth="true"/>
    <col min="22" max="27" width="13.7109" customWidth="true"/>
    <col min="28" max="28" width="18.7109" customWidth="true"/>
  </cols>
  <sheetData>
    <row r="1" spans="1:28">
      <c r="A1" s="60" t="s"/>
      <c r="B1" s="61" t="s"/>
      <c r="C1" s="60" t="s"/>
      <c r="D1" s="60" t="s"/>
      <c r="E1" s="60" t="s"/>
      <c r="F1" s="60" t="s"/>
      <c r="G1" s="62" t="s"/>
      <c r="H1" s="62" t="s"/>
      <c r="I1" s="63" t="s"/>
      <c r="J1" s="63" t="s"/>
      <c r="K1" s="64" t="s">
        <v>2302</v>
      </c>
      <c r="L1" s="65" t="s"/>
      <c r="M1" s="65" t="s"/>
      <c r="N1" s="66" t="s"/>
      <c r="O1" s="67" t="s">
        <v>2303</v>
      </c>
      <c r="P1" s="68" t="s"/>
      <c r="Q1" s="68" t="s"/>
      <c r="R1" s="69" t="s">
        <v>2304</v>
      </c>
      <c r="S1" s="68" t="s"/>
      <c r="T1" s="68" t="s"/>
      <c r="U1" s="70" t="s">
        <v>2305</v>
      </c>
      <c r="V1" s="71" t="s">
        <v>2306</v>
      </c>
      <c r="W1" s="68" t="s"/>
      <c r="X1" s="68" t="s"/>
      <c r="Y1" s="72" t="s">
        <v>2307</v>
      </c>
      <c r="Z1" s="68" t="s"/>
      <c r="AA1" s="68" t="s"/>
      <c r="AB1" s="73" t="s"/>
    </row>
    <row r="2" spans="1:28" ht="15" customHeight="true">
      <c r="A2" s="74" t="s">
        <v>2308</v>
      </c>
      <c r="B2" s="74" t="s">
        <v>2309</v>
      </c>
      <c r="C2" s="74" t="s">
        <v>2310</v>
      </c>
      <c r="D2" s="74" t="s">
        <v>2311</v>
      </c>
      <c r="E2" s="74" t="s">
        <v>2312</v>
      </c>
      <c r="F2" s="74" t="s">
        <v>2313</v>
      </c>
      <c r="G2" s="74" t="s">
        <v>136</v>
      </c>
      <c r="H2" s="74" t="s">
        <v>2314</v>
      </c>
      <c r="I2" s="74" t="s">
        <v>2315</v>
      </c>
      <c r="J2" s="74" t="s">
        <v>2316</v>
      </c>
      <c r="K2" s="74">
        <v>2023</v>
      </c>
      <c r="L2" s="74">
        <v>2024</v>
      </c>
      <c r="M2" s="74" t="s">
        <v>2317</v>
      </c>
      <c r="N2" s="75" t="s">
        <v>2318</v>
      </c>
      <c r="O2" s="74">
        <v>2023</v>
      </c>
      <c r="P2" s="74">
        <v>2024</v>
      </c>
      <c r="Q2" s="74" t="s">
        <v>2317</v>
      </c>
      <c r="R2" s="74">
        <v>2023</v>
      </c>
      <c r="S2" s="74">
        <v>2024</v>
      </c>
      <c r="T2" s="74" t="s">
        <v>2317</v>
      </c>
      <c r="U2" s="74" t="s">
        <v>2319</v>
      </c>
      <c r="V2" s="74">
        <v>2023</v>
      </c>
      <c r="W2" s="74">
        <v>2024</v>
      </c>
      <c r="X2" s="74" t="s">
        <v>2320</v>
      </c>
      <c r="Y2" s="74">
        <v>2023</v>
      </c>
      <c r="Z2" s="74">
        <v>2024</v>
      </c>
      <c r="AA2" s="74" t="s">
        <v>2320</v>
      </c>
      <c r="AB2" s="74" t="s">
        <v>2321</v>
      </c>
    </row>
    <row r="3" spans="1:28" ht="15" customHeight="true">
      <c r="A3" s="76" t="s">
        <v>2322</v>
      </c>
      <c r="B3" s="77" t="s">
        <v>2323</v>
      </c>
      <c r="C3" s="78" t="s">
        <v>2324</v>
      </c>
      <c r="D3" s="76" t="s">
        <v>2325</v>
      </c>
      <c r="E3" s="79">
        <v>39065</v>
      </c>
      <c r="F3" s="80">
        <v>41040</v>
      </c>
      <c r="G3" s="81" t="s">
        <v>2942</v>
      </c>
      <c r="H3" s="82" t="s">
        <v>2326</v>
      </c>
      <c r="I3" s="77" t="s">
        <v>2327</v>
      </c>
      <c r="J3" s="77" t="s">
        <v>2328</v>
      </c>
      <c r="K3" s="83">
        <v>179.8318571227</v>
      </c>
      <c r="L3" s="83">
        <v>175.766126579</v>
      </c>
      <c r="M3" s="83">
        <v>82.7322095941</v>
      </c>
      <c r="N3" s="84">
        <v>-42.8564</v>
      </c>
      <c r="O3" s="83">
        <v>41.6527</v>
      </c>
      <c r="P3" s="83">
        <v>33.3536</v>
      </c>
      <c r="Q3" s="83">
        <v>25.8231</v>
      </c>
      <c r="R3" s="83">
        <v>53.1300007285</v>
      </c>
      <c r="S3" s="83">
        <v>26.6448378952</v>
      </c>
      <c r="T3" s="83">
        <v>8.6596408888</v>
      </c>
      <c r="U3" s="85" t="s">
        <v>2329</v>
      </c>
      <c r="V3" s="86">
        <v>128.1168</v>
      </c>
      <c r="W3" s="86">
        <v>133.6266</v>
      </c>
      <c r="X3" s="86">
        <v>40.8213</v>
      </c>
      <c r="Y3" s="87">
        <v>0.712425722258244</v>
      </c>
      <c r="Z3" s="87">
        <v>0.760251971084316</v>
      </c>
      <c r="AA3" s="87">
        <v>0.70483022972728</v>
      </c>
      <c r="AB3" s="88">
        <v>159.81289164372</v>
      </c>
    </row>
    <row r="4" spans="1:28" ht="15" customHeight="true">
      <c r="A4" s="89" t="s"/>
      <c r="B4" s="89" t="s"/>
      <c r="C4" s="89" t="s"/>
      <c r="D4" s="89" t="s"/>
      <c r="E4" s="89" t="s"/>
      <c r="F4" s="90" t="s"/>
      <c r="G4" s="89" t="s"/>
      <c r="H4" s="89" t="s"/>
      <c r="I4" s="89" t="s"/>
      <c r="J4" s="89" t="s"/>
      <c r="K4" s="89" t="s"/>
      <c r="L4" s="89" t="s"/>
      <c r="M4" s="89" t="s"/>
      <c r="N4" s="90" t="s"/>
      <c r="O4" s="89" t="s"/>
      <c r="P4" s="89" t="s"/>
      <c r="Q4" s="89" t="s"/>
      <c r="R4" s="89" t="s"/>
      <c r="S4" s="89" t="s"/>
      <c r="T4" s="89" t="s"/>
      <c r="U4" s="91" t="s">
        <v>2330</v>
      </c>
      <c r="V4" s="92">
        <v>41.6264</v>
      </c>
      <c r="W4" s="92">
        <v>33.4599</v>
      </c>
      <c r="X4" s="92">
        <v>12.2652</v>
      </c>
      <c r="Y4" s="93">
        <v>0.231474077443478</v>
      </c>
      <c r="Z4" s="93">
        <v>0.190365952043112</v>
      </c>
      <c r="AA4" s="93">
        <v>0.211773846831214</v>
      </c>
      <c r="AB4" s="90" t="s"/>
    </row>
    <row r="5" spans="1:28">
      <c r="A5" s="89" t="s"/>
      <c r="B5" s="89" t="s"/>
      <c r="C5" s="89" t="s"/>
      <c r="D5" s="89" t="s"/>
      <c r="E5" s="89" t="s"/>
      <c r="F5" s="90" t="s"/>
      <c r="G5" s="89" t="s"/>
      <c r="H5" s="89" t="s"/>
      <c r="I5" s="89" t="s"/>
      <c r="J5" s="89" t="s"/>
      <c r="K5" s="89" t="s"/>
      <c r="L5" s="89" t="s"/>
      <c r="M5" s="89" t="s"/>
      <c r="N5" s="90" t="s"/>
      <c r="O5" s="89" t="s"/>
      <c r="P5" s="89" t="s"/>
      <c r="Q5" s="89" t="s"/>
      <c r="R5" s="89" t="s"/>
      <c r="S5" s="89" t="s"/>
      <c r="T5" s="89" t="s"/>
      <c r="U5" s="94" t="s">
        <v>2331</v>
      </c>
      <c r="V5" s="95">
        <v>10.0886</v>
      </c>
      <c r="W5" s="95">
        <v>8.6797</v>
      </c>
      <c r="X5" s="95">
        <v>4.83</v>
      </c>
      <c r="Y5" s="96">
        <v>0.0561002002982787</v>
      </c>
      <c r="Z5" s="96">
        <v>0.0493820768725728</v>
      </c>
      <c r="AA5" s="96">
        <v>0.0833959234415063</v>
      </c>
      <c r="AB5" s="90" t="s"/>
    </row>
    <row r="6" spans="1:28">
      <c r="A6" s="97" t="s">
        <v>2322</v>
      </c>
      <c r="B6" s="98" t="s">
        <v>2332</v>
      </c>
      <c r="C6" s="99" t="s">
        <v>2333</v>
      </c>
      <c r="D6" s="100" t="s">
        <v>2334</v>
      </c>
      <c r="E6" s="101">
        <v>39350</v>
      </c>
      <c r="F6" s="101">
        <v>44039</v>
      </c>
      <c r="G6" s="102" t="s">
        <v>2943</v>
      </c>
      <c r="H6" s="102" t="s">
        <v>2944</v>
      </c>
      <c r="I6" s="103" t="s">
        <v>2335</v>
      </c>
      <c r="J6" s="103" t="s">
        <v>2336</v>
      </c>
      <c r="K6" s="104">
        <v>60.0157708533</v>
      </c>
      <c r="L6" s="104">
        <v>56.6927861832</v>
      </c>
      <c r="M6" s="104">
        <v>15.7224855462</v>
      </c>
      <c r="N6" s="105">
        <v>-60.3812</v>
      </c>
      <c r="O6" s="104">
        <v>26.7556</v>
      </c>
      <c r="P6" s="104">
        <v>28.7176</v>
      </c>
      <c r="Q6" s="104">
        <v>30.3742</v>
      </c>
      <c r="R6" s="104">
        <v>5.4524570103</v>
      </c>
      <c r="S6" s="104">
        <v>3.2486653504</v>
      </c>
      <c r="T6" s="104">
        <v>0.7530727443</v>
      </c>
      <c r="U6" s="106" t="s">
        <v>2337</v>
      </c>
      <c r="V6" s="107">
        <v>48.78</v>
      </c>
      <c r="W6" s="107">
        <v>44.54</v>
      </c>
      <c r="X6" s="107">
        <v>9.31</v>
      </c>
      <c r="Y6" s="108">
        <v>0.812729090303232</v>
      </c>
      <c r="Z6" s="108">
        <v>0.785676486152761</v>
      </c>
      <c r="AA6" s="108">
        <v>0.847133757961784</v>
      </c>
      <c r="AB6" s="104">
        <v>275.75013598578</v>
      </c>
    </row>
    <row r="7" spans="1:28" ht="15" customHeight="true">
      <c r="A7" s="11" t="s"/>
      <c r="B7" s="11" t="s"/>
      <c r="C7" s="11" t="s"/>
      <c r="D7" s="11" t="s"/>
      <c r="E7" s="11" t="s"/>
      <c r="F7" s="11" t="s"/>
      <c r="G7" s="11" t="s"/>
      <c r="H7" s="11" t="s"/>
      <c r="I7" s="11" t="s"/>
      <c r="J7" s="11" t="s"/>
      <c r="K7" s="11" t="s"/>
      <c r="L7" s="11" t="s"/>
      <c r="M7" s="11" t="s"/>
      <c r="N7" s="11" t="s"/>
      <c r="O7" s="11" t="s"/>
      <c r="P7" s="11" t="s"/>
      <c r="Q7" s="11" t="s"/>
      <c r="R7" s="11" t="s"/>
      <c r="S7" s="11" t="s"/>
      <c r="T7" s="11" t="s"/>
      <c r="U7" s="91" t="s">
        <v>2338</v>
      </c>
      <c r="V7" s="92">
        <v>7</v>
      </c>
      <c r="W7" s="92">
        <v>8.84</v>
      </c>
      <c r="X7" s="92">
        <v>0.98</v>
      </c>
      <c r="Y7" s="93">
        <v>0.116627790736421</v>
      </c>
      <c r="Z7" s="93">
        <v>0.155935791144823</v>
      </c>
      <c r="AA7" s="93">
        <v>0.089171974522293</v>
      </c>
      <c r="AB7" s="11" t="s"/>
    </row>
    <row r="8" spans="1:28">
      <c r="A8" s="11" t="s"/>
      <c r="B8" s="11" t="s"/>
      <c r="C8" s="11" t="s"/>
      <c r="D8" s="11" t="s"/>
      <c r="E8" s="11" t="s"/>
      <c r="F8" s="11" t="s"/>
      <c r="G8" s="11" t="s"/>
      <c r="H8" s="11" t="s"/>
      <c r="I8" s="11" t="s"/>
      <c r="J8" s="11" t="s"/>
      <c r="K8" s="11" t="s"/>
      <c r="L8" s="11" t="s"/>
      <c r="M8" s="11" t="s"/>
      <c r="N8" s="11" t="s"/>
      <c r="O8" s="11" t="s"/>
      <c r="P8" s="11" t="s"/>
      <c r="Q8" s="11" t="s"/>
      <c r="R8" s="11" t="s"/>
      <c r="S8" s="11" t="s"/>
      <c r="T8" s="11" t="s"/>
      <c r="U8" s="109" t="s">
        <v>2339</v>
      </c>
      <c r="V8" s="110">
        <v>2.77</v>
      </c>
      <c r="W8" s="110">
        <v>3.11</v>
      </c>
      <c r="X8" s="110">
        <v>0.7</v>
      </c>
      <c r="Y8" s="111">
        <v>0.0461512829056981</v>
      </c>
      <c r="Z8" s="111">
        <v>0.0548597636267419</v>
      </c>
      <c r="AA8" s="111">
        <v>0.0636942675159236</v>
      </c>
      <c r="AB8" s="11" t="s"/>
    </row>
    <row r="9" spans="1:28">
      <c r="A9" s="11" t="s"/>
      <c r="B9" s="11" t="s"/>
      <c r="C9" s="11" t="s"/>
      <c r="D9" s="11" t="s"/>
      <c r="E9" s="11" t="s"/>
      <c r="F9" s="11" t="s"/>
      <c r="G9" s="11" t="s"/>
      <c r="H9" s="11" t="s"/>
      <c r="I9" s="11" t="s"/>
      <c r="J9" s="11" t="s"/>
      <c r="K9" s="11" t="s"/>
      <c r="L9" s="11" t="s"/>
      <c r="M9" s="11" t="s"/>
      <c r="N9" s="11" t="s"/>
      <c r="O9" s="11" t="s"/>
      <c r="P9" s="11" t="s"/>
      <c r="Q9" s="11" t="s"/>
      <c r="R9" s="11" t="s"/>
      <c r="S9" s="11" t="s"/>
      <c r="T9" s="11" t="s"/>
      <c r="U9" s="94" t="s">
        <v>2340</v>
      </c>
      <c r="V9" s="95">
        <v>1.47</v>
      </c>
      <c r="W9" s="95">
        <v>0.2</v>
      </c>
      <c r="X9" s="112">
        <v>0</v>
      </c>
      <c r="Y9" s="96">
        <v>0.0244918360546485</v>
      </c>
      <c r="Z9" s="96">
        <v>0.00352795907567472</v>
      </c>
      <c r="AA9" s="113">
        <v>0</v>
      </c>
      <c r="AB9" s="11" t="s"/>
    </row>
    <row r="10" spans="1:28">
      <c r="A10" s="100" t="s">
        <v>2341</v>
      </c>
      <c r="B10" s="98" t="s">
        <v>2342</v>
      </c>
      <c r="C10" s="99" t="s">
        <v>2343</v>
      </c>
      <c r="D10" s="100" t="s">
        <v>2344</v>
      </c>
      <c r="E10" s="101">
        <v>39010</v>
      </c>
      <c r="F10" s="114">
        <v>44050</v>
      </c>
      <c r="G10" s="102" t="s">
        <v>2945</v>
      </c>
      <c r="H10" s="115" t="s">
        <v>2345</v>
      </c>
      <c r="I10" s="103" t="s">
        <v>2346</v>
      </c>
      <c r="J10" s="116" t="s">
        <v>2347</v>
      </c>
      <c r="K10" s="104">
        <v>61.8389421873</v>
      </c>
      <c r="L10" s="104">
        <v>44.7423675985</v>
      </c>
      <c r="M10" s="104">
        <v>24.3080423103</v>
      </c>
      <c r="N10" s="117">
        <v>-29.1652</v>
      </c>
      <c r="O10" s="104">
        <v>42.4912</v>
      </c>
      <c r="P10" s="104">
        <v>18.9782</v>
      </c>
      <c r="Q10" s="104">
        <v>12.4861</v>
      </c>
      <c r="R10" s="104">
        <v>14.6112228962</v>
      </c>
      <c r="S10" s="104">
        <v>-0.4422792657</v>
      </c>
      <c r="T10" s="104">
        <v>-0.8163469138</v>
      </c>
      <c r="U10" s="106" t="s">
        <v>2348</v>
      </c>
      <c r="V10" s="107">
        <v>28.77</v>
      </c>
      <c r="W10" s="107">
        <v>20.22</v>
      </c>
      <c r="X10" s="107">
        <v>1.08</v>
      </c>
      <c r="Y10" s="108">
        <v>0.465232858990944</v>
      </c>
      <c r="Z10" s="108">
        <v>0.451944568618686</v>
      </c>
      <c r="AA10" s="108">
        <v>0.0743801652892562</v>
      </c>
      <c r="AB10" s="104">
        <v>-36.073643045113</v>
      </c>
    </row>
    <row r="11" spans="1:28" ht="15" customHeight="true">
      <c r="A11" s="11" t="s"/>
      <c r="B11" s="11" t="s"/>
      <c r="C11" s="11" t="s"/>
      <c r="D11" s="11" t="s"/>
      <c r="E11" s="11" t="s"/>
      <c r="F11" s="11" t="s"/>
      <c r="G11" s="11" t="s"/>
      <c r="H11" s="11" t="s"/>
      <c r="I11" s="11" t="s"/>
      <c r="J11" s="11" t="s"/>
      <c r="K11" s="11" t="s"/>
      <c r="L11" s="11" t="s"/>
      <c r="M11" s="11" t="s"/>
      <c r="N11" s="11" t="s"/>
      <c r="O11" s="11" t="s"/>
      <c r="P11" s="11" t="s"/>
      <c r="Q11" s="11" t="s"/>
      <c r="R11" s="11" t="s"/>
      <c r="S11" s="11" t="s"/>
      <c r="T11" s="11" t="s"/>
      <c r="U11" s="91" t="s">
        <v>2349</v>
      </c>
      <c r="V11" s="92">
        <v>17.19</v>
      </c>
      <c r="W11" s="92">
        <v>12.95</v>
      </c>
      <c r="X11" s="92">
        <v>7.11</v>
      </c>
      <c r="Y11" s="93">
        <v>0.277975420439845</v>
      </c>
      <c r="Z11" s="93">
        <v>0.289450156459544</v>
      </c>
      <c r="AA11" s="93">
        <v>0.489669421487603</v>
      </c>
      <c r="AB11" s="11" t="s"/>
    </row>
    <row r="12" spans="1:28" ht="15" customHeight="true">
      <c r="A12" s="11" t="s"/>
      <c r="B12" s="11" t="s"/>
      <c r="C12" s="11" t="s"/>
      <c r="D12" s="11" t="s"/>
      <c r="E12" s="11" t="s"/>
      <c r="F12" s="11" t="s"/>
      <c r="G12" s="11" t="s"/>
      <c r="H12" s="11" t="s"/>
      <c r="I12" s="11" t="s"/>
      <c r="J12" s="11" t="s"/>
      <c r="K12" s="11" t="s"/>
      <c r="L12" s="11" t="s"/>
      <c r="M12" s="11" t="s"/>
      <c r="N12" s="11" t="s"/>
      <c r="O12" s="11" t="s"/>
      <c r="P12" s="11" t="s"/>
      <c r="Q12" s="11" t="s"/>
      <c r="R12" s="11" t="s"/>
      <c r="S12" s="11" t="s"/>
      <c r="T12" s="11" t="s"/>
      <c r="U12" s="91" t="s">
        <v>2350</v>
      </c>
      <c r="V12" s="92">
        <v>11.62</v>
      </c>
      <c r="W12" s="92">
        <v>6.93</v>
      </c>
      <c r="X12" s="92">
        <v>3.4</v>
      </c>
      <c r="Y12" s="93">
        <v>0.187904269081501</v>
      </c>
      <c r="Z12" s="93">
        <v>0.154894948591864</v>
      </c>
      <c r="AA12" s="93">
        <v>0.234159779614325</v>
      </c>
      <c r="AB12" s="11" t="s"/>
    </row>
    <row r="13" spans="1:28" ht="15" customHeight="true">
      <c r="A13" s="11" t="s"/>
      <c r="B13" s="11" t="s"/>
      <c r="C13" s="11" t="s"/>
      <c r="D13" s="11" t="s"/>
      <c r="E13" s="11" t="s"/>
      <c r="F13" s="11" t="s"/>
      <c r="G13" s="11" t="s"/>
      <c r="H13" s="11" t="s"/>
      <c r="I13" s="11" t="s"/>
      <c r="J13" s="11" t="s"/>
      <c r="K13" s="11" t="s"/>
      <c r="L13" s="11" t="s"/>
      <c r="M13" s="11" t="s"/>
      <c r="N13" s="11" t="s"/>
      <c r="O13" s="11" t="s"/>
      <c r="P13" s="11" t="s"/>
      <c r="Q13" s="11" t="s"/>
      <c r="R13" s="11" t="s"/>
      <c r="S13" s="11" t="s"/>
      <c r="T13" s="11" t="s"/>
      <c r="U13" s="91" t="s">
        <v>2351</v>
      </c>
      <c r="V13" s="92">
        <v>2.52</v>
      </c>
      <c r="W13" s="92">
        <v>2.45</v>
      </c>
      <c r="X13" s="92">
        <v>1.33</v>
      </c>
      <c r="Y13" s="93">
        <v>0.0407503234152652</v>
      </c>
      <c r="Z13" s="93">
        <v>0.0547608404112651</v>
      </c>
      <c r="AA13" s="93">
        <v>0.0915977961432507</v>
      </c>
      <c r="AB13" s="11" t="s"/>
    </row>
    <row r="14" spans="1:28" ht="15" customHeight="true">
      <c r="A14" s="11" t="s"/>
      <c r="B14" s="11" t="s"/>
      <c r="C14" s="11" t="s"/>
      <c r="D14" s="11" t="s"/>
      <c r="E14" s="11" t="s"/>
      <c r="F14" s="11" t="s"/>
      <c r="G14" s="11" t="s"/>
      <c r="H14" s="11" t="s"/>
      <c r="I14" s="11" t="s"/>
      <c r="J14" s="11" t="s"/>
      <c r="K14" s="11" t="s"/>
      <c r="L14" s="11" t="s"/>
      <c r="M14" s="11" t="s"/>
      <c r="N14" s="11" t="s"/>
      <c r="O14" s="11" t="s"/>
      <c r="P14" s="11" t="s"/>
      <c r="Q14" s="11" t="s"/>
      <c r="R14" s="11" t="s"/>
      <c r="S14" s="11" t="s"/>
      <c r="T14" s="11" t="s"/>
      <c r="U14" s="91" t="s">
        <v>2352</v>
      </c>
      <c r="V14" s="92">
        <v>1.27</v>
      </c>
      <c r="W14" s="92">
        <v>1.87</v>
      </c>
      <c r="X14" s="92">
        <v>1.3</v>
      </c>
      <c r="Y14" s="93">
        <v>0.0205368693402329</v>
      </c>
      <c r="Z14" s="93">
        <v>0.0417970496200268</v>
      </c>
      <c r="AA14" s="93">
        <v>0.0895316804407714</v>
      </c>
      <c r="AB14" s="11" t="s"/>
    </row>
    <row r="15" spans="1:28">
      <c r="A15" s="11" t="s"/>
      <c r="B15" s="11" t="s"/>
      <c r="C15" s="11" t="s"/>
      <c r="D15" s="11" t="s"/>
      <c r="E15" s="11" t="s"/>
      <c r="F15" s="11" t="s"/>
      <c r="G15" s="11" t="s"/>
      <c r="H15" s="11" t="s"/>
      <c r="I15" s="11" t="s"/>
      <c r="J15" s="11" t="s"/>
      <c r="K15" s="11" t="s"/>
      <c r="L15" s="11" t="s"/>
      <c r="M15" s="11" t="s"/>
      <c r="N15" s="11" t="s"/>
      <c r="O15" s="11" t="s"/>
      <c r="P15" s="11" t="s"/>
      <c r="Q15" s="11" t="s"/>
      <c r="R15" s="11" t="s"/>
      <c r="S15" s="11" t="s"/>
      <c r="T15" s="11" t="s"/>
      <c r="U15" s="91" t="s">
        <v>2353</v>
      </c>
      <c r="V15" s="92">
        <v>0.47</v>
      </c>
      <c r="W15" s="92">
        <v>0.32</v>
      </c>
      <c r="X15" s="92">
        <v>0.3</v>
      </c>
      <c r="Y15" s="93">
        <v>0.00760025873221216</v>
      </c>
      <c r="Z15" s="93">
        <v>0.00715243629861422</v>
      </c>
      <c r="AA15" s="93">
        <v>0.0206611570247934</v>
      </c>
      <c r="AB15" s="11" t="s"/>
    </row>
    <row r="16" spans="1:28">
      <c r="A16" s="100" t="s">
        <v>2341</v>
      </c>
      <c r="B16" s="98" t="s">
        <v>2342</v>
      </c>
      <c r="C16" s="99" t="s">
        <v>2354</v>
      </c>
      <c r="D16" s="100" t="s">
        <v>2355</v>
      </c>
      <c r="E16" s="101">
        <v>35957</v>
      </c>
      <c r="F16" s="101">
        <v>43433</v>
      </c>
      <c r="G16" s="102" t="s">
        <v>2946</v>
      </c>
      <c r="H16" s="115" t="s">
        <v>2356</v>
      </c>
      <c r="I16" s="103" t="s">
        <v>2357</v>
      </c>
      <c r="J16" s="103" t="s">
        <v>2358</v>
      </c>
      <c r="K16" s="104">
        <v>13.0370187947</v>
      </c>
      <c r="L16" s="104">
        <v>10.3752572375</v>
      </c>
      <c r="M16" s="104">
        <v>7.1742852179</v>
      </c>
      <c r="N16" s="118">
        <v>-24.0251</v>
      </c>
      <c r="O16" s="104">
        <v>29.0264</v>
      </c>
      <c r="P16" s="104">
        <v>17.1791</v>
      </c>
      <c r="Q16" s="104">
        <v>24.0543</v>
      </c>
      <c r="R16" s="104">
        <v>1.1298843857</v>
      </c>
      <c r="S16" s="104">
        <v>-4.3762852548</v>
      </c>
      <c r="T16" s="104">
        <v>0.1651116831</v>
      </c>
      <c r="U16" s="106" t="s">
        <v>2359</v>
      </c>
      <c r="V16" s="107">
        <v>7.99</v>
      </c>
      <c r="W16" s="107">
        <v>6.93</v>
      </c>
      <c r="X16" s="107">
        <v>3.22</v>
      </c>
      <c r="Y16" s="108">
        <v>0.613200306983883</v>
      </c>
      <c r="Z16" s="108">
        <v>0.667630057803468</v>
      </c>
      <c r="AA16" s="108">
        <v>0.666666666666667</v>
      </c>
      <c r="AB16" s="104">
        <v>-43.425336607283</v>
      </c>
    </row>
    <row r="17" spans="1:28" ht="15" customHeight="true">
      <c r="A17" s="11" t="s"/>
      <c r="B17" s="11" t="s"/>
      <c r="C17" s="11" t="s"/>
      <c r="D17" s="11" t="s"/>
      <c r="E17" s="11" t="s"/>
      <c r="F17" s="11" t="s"/>
      <c r="G17" s="11" t="s"/>
      <c r="H17" s="11" t="s"/>
      <c r="I17" s="11" t="s"/>
      <c r="J17" s="11" t="s"/>
      <c r="K17" s="11" t="s"/>
      <c r="L17" s="11" t="s"/>
      <c r="M17" s="11" t="s"/>
      <c r="N17" s="11" t="s"/>
      <c r="O17" s="11" t="s"/>
      <c r="P17" s="11" t="s"/>
      <c r="Q17" s="11" t="s"/>
      <c r="R17" s="11" t="s"/>
      <c r="S17" s="11" t="s"/>
      <c r="T17" s="11" t="s"/>
      <c r="U17" s="91" t="s">
        <v>2360</v>
      </c>
      <c r="V17" s="92">
        <v>2.56</v>
      </c>
      <c r="W17" s="92">
        <v>2.34</v>
      </c>
      <c r="X17" s="92">
        <v>0.72</v>
      </c>
      <c r="Y17" s="93">
        <v>0.19646968534152</v>
      </c>
      <c r="Z17" s="93">
        <v>0.225433526011561</v>
      </c>
      <c r="AA17" s="93">
        <v>0.149068322981366</v>
      </c>
      <c r="AB17" s="11" t="s"/>
    </row>
    <row r="18" spans="1:28" ht="15" customHeight="true">
      <c r="A18" s="11" t="s"/>
      <c r="B18" s="11" t="s"/>
      <c r="C18" s="11" t="s"/>
      <c r="D18" s="11" t="s"/>
      <c r="E18" s="11" t="s"/>
      <c r="F18" s="11" t="s"/>
      <c r="G18" s="11" t="s"/>
      <c r="H18" s="11" t="s"/>
      <c r="I18" s="11" t="s"/>
      <c r="J18" s="11" t="s"/>
      <c r="K18" s="11" t="s"/>
      <c r="L18" s="11" t="s"/>
      <c r="M18" s="11" t="s"/>
      <c r="N18" s="11" t="s"/>
      <c r="O18" s="11" t="s"/>
      <c r="P18" s="11" t="s"/>
      <c r="Q18" s="11" t="s"/>
      <c r="R18" s="11" t="s"/>
      <c r="S18" s="11" t="s"/>
      <c r="T18" s="11" t="s"/>
      <c r="U18" s="91" t="s">
        <v>2361</v>
      </c>
      <c r="V18" s="92">
        <v>0.59</v>
      </c>
      <c r="W18" s="92">
        <v>0.45</v>
      </c>
      <c r="X18" s="92">
        <v>0.11</v>
      </c>
      <c r="Y18" s="93">
        <v>0.0452801227935534</v>
      </c>
      <c r="Z18" s="93">
        <v>0.0433526011560694</v>
      </c>
      <c r="AA18" s="93">
        <v>0.0227743271221532</v>
      </c>
      <c r="AB18" s="11" t="s"/>
    </row>
    <row r="19" spans="1:28" ht="15" customHeight="true">
      <c r="A19" s="11" t="s"/>
      <c r="B19" s="11" t="s"/>
      <c r="C19" s="11" t="s"/>
      <c r="D19" s="11" t="s"/>
      <c r="E19" s="11" t="s"/>
      <c r="F19" s="11" t="s"/>
      <c r="G19" s="11" t="s"/>
      <c r="H19" s="11" t="s"/>
      <c r="I19" s="11" t="s"/>
      <c r="J19" s="11" t="s"/>
      <c r="K19" s="11" t="s"/>
      <c r="L19" s="11" t="s"/>
      <c r="M19" s="11" t="s"/>
      <c r="N19" s="11" t="s"/>
      <c r="O19" s="11" t="s"/>
      <c r="P19" s="11" t="s"/>
      <c r="Q19" s="11" t="s"/>
      <c r="R19" s="11" t="s"/>
      <c r="S19" s="11" t="s"/>
      <c r="T19" s="11" t="s"/>
      <c r="U19" s="91" t="s">
        <v>2362</v>
      </c>
      <c r="V19" s="92">
        <v>0.4</v>
      </c>
      <c r="W19" s="92">
        <v>0.39</v>
      </c>
      <c r="X19" s="92">
        <v>0.67</v>
      </c>
      <c r="Y19" s="93">
        <v>0.0306983883346124</v>
      </c>
      <c r="Z19" s="93">
        <v>0.0375722543352601</v>
      </c>
      <c r="AA19" s="93">
        <v>0.13871635610766</v>
      </c>
      <c r="AB19" s="11" t="s"/>
    </row>
    <row r="20" spans="1:28" ht="15" customHeight="true">
      <c r="A20" s="11" t="s"/>
      <c r="B20" s="11" t="s"/>
      <c r="C20" s="11" t="s"/>
      <c r="D20" s="11" t="s"/>
      <c r="E20" s="11" t="s"/>
      <c r="F20" s="11" t="s"/>
      <c r="G20" s="11" t="s"/>
      <c r="H20" s="11" t="s"/>
      <c r="I20" s="11" t="s"/>
      <c r="J20" s="11" t="s"/>
      <c r="K20" s="11" t="s"/>
      <c r="L20" s="11" t="s"/>
      <c r="M20" s="11" t="s"/>
      <c r="N20" s="11" t="s"/>
      <c r="O20" s="11" t="s"/>
      <c r="P20" s="11" t="s"/>
      <c r="Q20" s="11" t="s"/>
      <c r="R20" s="11" t="s"/>
      <c r="S20" s="11" t="s"/>
      <c r="T20" s="11" t="s"/>
      <c r="U20" s="91" t="s">
        <v>2363</v>
      </c>
      <c r="V20" s="92">
        <v>1.43</v>
      </c>
      <c r="W20" s="92">
        <v>0.2</v>
      </c>
      <c r="X20" s="92">
        <v>0.04</v>
      </c>
      <c r="Y20" s="93">
        <v>0.109746738296239</v>
      </c>
      <c r="Z20" s="93">
        <v>0.0192678227360308</v>
      </c>
      <c r="AA20" s="93">
        <v>0.00828157349896481</v>
      </c>
      <c r="AB20" s="11" t="s"/>
    </row>
    <row r="21" spans="1:28">
      <c r="A21" s="11" t="s"/>
      <c r="B21" s="11" t="s"/>
      <c r="C21" s="11" t="s"/>
      <c r="D21" s="11" t="s"/>
      <c r="E21" s="11" t="s"/>
      <c r="F21" s="11" t="s"/>
      <c r="G21" s="11" t="s"/>
      <c r="H21" s="11" t="s"/>
      <c r="I21" s="11" t="s"/>
      <c r="J21" s="11" t="s"/>
      <c r="K21" s="11" t="s"/>
      <c r="L21" s="11" t="s"/>
      <c r="M21" s="11" t="s"/>
      <c r="N21" s="11" t="s"/>
      <c r="O21" s="11" t="s"/>
      <c r="P21" s="11" t="s"/>
      <c r="Q21" s="11" t="s"/>
      <c r="R21" s="11" t="s"/>
      <c r="S21" s="11" t="s"/>
      <c r="T21" s="11" t="s"/>
      <c r="U21" s="94" t="s">
        <v>2364</v>
      </c>
      <c r="V21" s="95">
        <v>0.06</v>
      </c>
      <c r="W21" s="95">
        <v>0.07</v>
      </c>
      <c r="X21" s="95">
        <v>0.07</v>
      </c>
      <c r="Y21" s="96">
        <v>0.00460475825019187</v>
      </c>
      <c r="Z21" s="96">
        <v>0.00674373795761079</v>
      </c>
      <c r="AA21" s="96">
        <v>0.0144927536231884</v>
      </c>
      <c r="AB21" s="11" t="s"/>
    </row>
    <row r="22" spans="1:28" ht="15.75" customHeight="true">
      <c r="A22" s="100" t="s">
        <v>2365</v>
      </c>
      <c r="B22" s="103" t="s">
        <v>2366</v>
      </c>
      <c r="C22" s="99" t="s">
        <v>2367</v>
      </c>
      <c r="D22" s="100" t="s">
        <v>2368</v>
      </c>
      <c r="E22" s="101">
        <v>37162</v>
      </c>
      <c r="F22" s="101">
        <v>40253</v>
      </c>
      <c r="G22" s="102" t="s">
        <v>2947</v>
      </c>
      <c r="H22" s="119" t="s">
        <v>2369</v>
      </c>
      <c r="I22" s="115" t="s">
        <v>2370</v>
      </c>
      <c r="J22" s="115" t="s">
        <v>2371</v>
      </c>
      <c r="K22" s="104">
        <v>220.7945809237</v>
      </c>
      <c r="L22" s="104">
        <v>298.3806916226</v>
      </c>
      <c r="M22" s="104">
        <v>273.0137965681</v>
      </c>
      <c r="N22" s="120">
        <v>32.9695</v>
      </c>
      <c r="O22" s="104">
        <v>41.1002</v>
      </c>
      <c r="P22" s="104">
        <v>42.8543</v>
      </c>
      <c r="Q22" s="104">
        <v>41.4069</v>
      </c>
      <c r="R22" s="104">
        <v>40.3272477405</v>
      </c>
      <c r="S22" s="104">
        <v>56.9367808206</v>
      </c>
      <c r="T22" s="104">
        <v>49.802356527</v>
      </c>
      <c r="U22" s="106" t="s">
        <v>2372</v>
      </c>
      <c r="V22" s="107">
        <v>196.11</v>
      </c>
      <c r="W22" s="107">
        <v>277.07</v>
      </c>
      <c r="X22" s="107">
        <v>152.58</v>
      </c>
      <c r="Y22" s="108">
        <v>0.888219575161919</v>
      </c>
      <c r="Z22" s="108">
        <v>0.928581004088746</v>
      </c>
      <c r="AA22" s="108">
        <v>0.945236030231694</v>
      </c>
      <c r="AB22" s="104">
        <v>55.675294806561</v>
      </c>
    </row>
    <row r="23" spans="1:28" ht="15" customHeight="true">
      <c r="A23" s="11" t="s"/>
      <c r="B23" s="11" t="s"/>
      <c r="C23" s="11" t="s"/>
      <c r="D23" s="11" t="s"/>
      <c r="E23" s="11" t="s"/>
      <c r="F23" s="11" t="s"/>
      <c r="G23" s="11" t="s"/>
      <c r="H23" s="11" t="s"/>
      <c r="I23" s="11" t="s"/>
      <c r="J23" s="11" t="s"/>
      <c r="K23" s="11" t="s"/>
      <c r="L23" s="11" t="s"/>
      <c r="M23" s="11" t="s"/>
      <c r="N23" s="11" t="s"/>
      <c r="O23" s="11" t="s"/>
      <c r="P23" s="11" t="s"/>
      <c r="Q23" s="11" t="s"/>
      <c r="R23" s="11" t="s"/>
      <c r="S23" s="11" t="s"/>
      <c r="T23" s="11" t="s"/>
      <c r="U23" s="91" t="s">
        <v>2373</v>
      </c>
      <c r="V23" s="92">
        <v>24.33</v>
      </c>
      <c r="W23" s="92">
        <v>20.94</v>
      </c>
      <c r="X23" s="92">
        <v>8.68</v>
      </c>
      <c r="Y23" s="93">
        <v>0.11019520811631</v>
      </c>
      <c r="Z23" s="93">
        <v>0.0701789664186608</v>
      </c>
      <c r="AA23" s="93">
        <v>0.0537727666955768</v>
      </c>
      <c r="AB23" s="11" t="s"/>
    </row>
    <row r="24" spans="1:28">
      <c r="A24" s="11" t="s"/>
      <c r="B24" s="11" t="s"/>
      <c r="C24" s="11" t="s"/>
      <c r="D24" s="11" t="s"/>
      <c r="E24" s="11" t="s"/>
      <c r="F24" s="11" t="s"/>
      <c r="G24" s="11" t="s"/>
      <c r="H24" s="11" t="s"/>
      <c r="I24" s="11" t="s"/>
      <c r="J24" s="11" t="s"/>
      <c r="K24" s="11" t="s"/>
      <c r="L24" s="11" t="s"/>
      <c r="M24" s="11" t="s"/>
      <c r="N24" s="11" t="s"/>
      <c r="O24" s="11" t="s"/>
      <c r="P24" s="11" t="s"/>
      <c r="Q24" s="11" t="s"/>
      <c r="R24" s="11" t="s"/>
      <c r="S24" s="11" t="s"/>
      <c r="T24" s="11" t="s"/>
      <c r="U24" s="94" t="s">
        <v>2374</v>
      </c>
      <c r="V24" s="95">
        <v>0.35</v>
      </c>
      <c r="W24" s="95">
        <v>0.37</v>
      </c>
      <c r="X24" s="95">
        <v>0.16</v>
      </c>
      <c r="Y24" s="96">
        <v>0.00158521672177182</v>
      </c>
      <c r="Z24" s="96">
        <v>0.00124002949259334</v>
      </c>
      <c r="AA24" s="96">
        <v>0.000991203072729526</v>
      </c>
      <c r="AB24" s="11" t="s"/>
    </row>
    <row r="25" spans="1:28" ht="15.75" customHeight="true">
      <c r="A25" s="100" t="s">
        <v>2365</v>
      </c>
      <c r="B25" s="98" t="s">
        <v>2375</v>
      </c>
      <c r="C25" s="99" t="s">
        <v>2376</v>
      </c>
      <c r="D25" s="100" t="s">
        <v>2377</v>
      </c>
      <c r="E25" s="101">
        <v>39251</v>
      </c>
      <c r="F25" s="101">
        <v>43322</v>
      </c>
      <c r="G25" s="115" t="s">
        <v>2378</v>
      </c>
      <c r="H25" s="115" t="s">
        <v>2379</v>
      </c>
      <c r="I25" s="115" t="s">
        <v>2380</v>
      </c>
      <c r="J25" s="115" t="s">
        <v>2381</v>
      </c>
      <c r="K25" s="104">
        <v>87.3342718869</v>
      </c>
      <c r="L25" s="104">
        <v>188.8720524905</v>
      </c>
      <c r="M25" s="104">
        <v>131.056548978</v>
      </c>
      <c r="N25" s="121">
        <v>6.17</v>
      </c>
      <c r="O25" s="104">
        <v>28.9477</v>
      </c>
      <c r="P25" s="104">
        <v>26.4554</v>
      </c>
      <c r="Q25" s="104">
        <v>29.0728</v>
      </c>
      <c r="R25" s="104">
        <v>16.3927242078</v>
      </c>
      <c r="S25" s="104">
        <v>27.6623660545</v>
      </c>
      <c r="T25" s="104">
        <v>26.8921446602</v>
      </c>
      <c r="U25" s="106" t="s">
        <v>2382</v>
      </c>
      <c r="V25" s="107">
        <v>70.62</v>
      </c>
      <c r="W25" s="107">
        <v>162.74</v>
      </c>
      <c r="X25" s="107">
        <v>69.77</v>
      </c>
      <c r="Y25" s="108">
        <v>0.808656818962556</v>
      </c>
      <c r="Z25" s="108">
        <v>0.86165087096945</v>
      </c>
      <c r="AA25" s="108">
        <v>0.83337314859054</v>
      </c>
      <c r="AB25" s="104">
        <v>13.202147321644</v>
      </c>
    </row>
    <row r="26" spans="1:28">
      <c r="A26" s="11" t="s"/>
      <c r="B26" s="11" t="s"/>
      <c r="C26" s="11" t="s"/>
      <c r="D26" s="11" t="s"/>
      <c r="E26" s="11" t="s"/>
      <c r="F26" s="11" t="s"/>
      <c r="G26" s="11" t="s"/>
      <c r="H26" s="11" t="s"/>
      <c r="I26" s="11" t="s"/>
      <c r="J26" s="11" t="s"/>
      <c r="K26" s="11" t="s"/>
      <c r="L26" s="11" t="s"/>
      <c r="M26" s="11" t="s"/>
      <c r="N26" s="11" t="s"/>
      <c r="O26" s="11" t="s"/>
      <c r="P26" s="11" t="s"/>
      <c r="Q26" s="11" t="s"/>
      <c r="R26" s="11" t="s"/>
      <c r="S26" s="11" t="s"/>
      <c r="T26" s="11" t="s"/>
      <c r="U26" s="109" t="s">
        <v>2383</v>
      </c>
      <c r="V26" s="110">
        <v>11.37</v>
      </c>
      <c r="W26" s="110">
        <v>20.13</v>
      </c>
      <c r="X26" s="110">
        <v>10.09</v>
      </c>
      <c r="Y26" s="111">
        <v>0.130195809000344</v>
      </c>
      <c r="Z26" s="111">
        <v>0.10658124635993</v>
      </c>
      <c r="AA26" s="111">
        <v>0.120520783564262</v>
      </c>
      <c r="AB26" s="11" t="s"/>
    </row>
    <row r="27" spans="1:28">
      <c r="A27" s="11" t="s"/>
      <c r="B27" s="11" t="s"/>
      <c r="C27" s="11" t="s"/>
      <c r="D27" s="11" t="s"/>
      <c r="E27" s="11" t="s"/>
      <c r="F27" s="11" t="s"/>
      <c r="G27" s="11" t="s"/>
      <c r="H27" s="11" t="s"/>
      <c r="I27" s="11" t="s"/>
      <c r="J27" s="11" t="s"/>
      <c r="K27" s="11" t="s"/>
      <c r="L27" s="11" t="s"/>
      <c r="M27" s="11" t="s"/>
      <c r="N27" s="11" t="s"/>
      <c r="O27" s="11" t="s"/>
      <c r="P27" s="11" t="s"/>
      <c r="Q27" s="11" t="s"/>
      <c r="R27" s="11" t="s"/>
      <c r="S27" s="11" t="s"/>
      <c r="T27" s="11" t="s"/>
      <c r="U27" s="94" t="s">
        <v>2384</v>
      </c>
      <c r="V27" s="95">
        <v>5.34</v>
      </c>
      <c r="W27" s="95">
        <v>6</v>
      </c>
      <c r="X27" s="95">
        <v>3.86</v>
      </c>
      <c r="Y27" s="96">
        <v>0.0611473720371007</v>
      </c>
      <c r="Z27" s="96">
        <v>0.03176788267062</v>
      </c>
      <c r="AA27" s="96">
        <v>0.0461060678451983</v>
      </c>
      <c r="AB27" s="11" t="s"/>
    </row>
    <row r="28" spans="1:28" ht="15.75" customHeight="true">
      <c r="A28" s="100" t="s">
        <v>2365</v>
      </c>
      <c r="B28" s="98" t="s">
        <v>2366</v>
      </c>
      <c r="C28" s="99" t="s">
        <v>2385</v>
      </c>
      <c r="D28" s="100" t="s">
        <v>2386</v>
      </c>
      <c r="E28" s="101">
        <v>42499</v>
      </c>
      <c r="F28" s="101">
        <v>45594</v>
      </c>
      <c r="G28" s="102" t="s">
        <v>2948</v>
      </c>
      <c r="H28" s="119" t="s">
        <v>2387</v>
      </c>
      <c r="I28" s="115" t="s">
        <v>2388</v>
      </c>
      <c r="J28" s="115" t="s">
        <v>2389</v>
      </c>
      <c r="K28" s="104">
        <v>29.6616026121</v>
      </c>
      <c r="L28" s="104">
        <v>57.2813029071</v>
      </c>
      <c r="M28" s="104">
        <v>43.2081251966</v>
      </c>
      <c r="N28" s="122">
        <v>0.4325</v>
      </c>
      <c r="O28" s="104">
        <v>30.4235</v>
      </c>
      <c r="P28" s="104">
        <v>28.0423</v>
      </c>
      <c r="Q28" s="104">
        <v>31.2411</v>
      </c>
      <c r="R28" s="104">
        <v>4.219221115</v>
      </c>
      <c r="S28" s="104">
        <v>7.3256037025</v>
      </c>
      <c r="T28" s="104">
        <v>5.8930471821</v>
      </c>
      <c r="U28" s="106" t="s">
        <v>2390</v>
      </c>
      <c r="V28" s="107">
        <v>27.34</v>
      </c>
      <c r="W28" s="107">
        <v>54.34</v>
      </c>
      <c r="X28" s="107">
        <v>28.07</v>
      </c>
      <c r="Y28" s="108">
        <v>0.921780175320297</v>
      </c>
      <c r="Z28" s="108">
        <v>0.948673184357542</v>
      </c>
      <c r="AA28" s="108">
        <v>0.917020581509311</v>
      </c>
      <c r="AB28" s="104">
        <v>40.574328487809</v>
      </c>
    </row>
    <row r="29" spans="1:28" ht="15" customHeight="true">
      <c r="A29" s="11" t="s"/>
      <c r="B29" s="11" t="s"/>
      <c r="C29" s="11" t="s"/>
      <c r="D29" s="11" t="s"/>
      <c r="E29" s="11" t="s"/>
      <c r="F29" s="11" t="s"/>
      <c r="G29" s="11" t="s"/>
      <c r="H29" s="11" t="s"/>
      <c r="I29" s="11" t="s"/>
      <c r="J29" s="11" t="s"/>
      <c r="K29" s="11" t="s"/>
      <c r="L29" s="11" t="s"/>
      <c r="M29" s="11" t="s"/>
      <c r="N29" s="11" t="s"/>
      <c r="O29" s="11" t="s"/>
      <c r="P29" s="11" t="s"/>
      <c r="Q29" s="11" t="s"/>
      <c r="R29" s="11" t="s"/>
      <c r="S29" s="11" t="s"/>
      <c r="T29" s="11" t="s"/>
      <c r="U29" s="123" t="s">
        <v>2391</v>
      </c>
      <c r="V29" s="92">
        <v>26.69</v>
      </c>
      <c r="W29" s="92" t="s">
        <v>2392</v>
      </c>
      <c r="X29" s="92" t="s">
        <v>2392</v>
      </c>
      <c r="Y29" s="93">
        <v>0.899865138233311</v>
      </c>
      <c r="Z29" s="92" t="s">
        <v>2392</v>
      </c>
      <c r="AA29" s="92" t="s">
        <v>2392</v>
      </c>
      <c r="AB29" s="11" t="s"/>
    </row>
    <row r="30" spans="1:28" ht="15" customHeight="true">
      <c r="A30" s="11" t="s"/>
      <c r="B30" s="11" t="s"/>
      <c r="C30" s="11" t="s"/>
      <c r="D30" s="11" t="s"/>
      <c r="E30" s="11" t="s"/>
      <c r="F30" s="11" t="s"/>
      <c r="G30" s="11" t="s"/>
      <c r="H30" s="11" t="s"/>
      <c r="I30" s="11" t="s"/>
      <c r="J30" s="11" t="s"/>
      <c r="K30" s="11" t="s"/>
      <c r="L30" s="11" t="s"/>
      <c r="M30" s="11" t="s"/>
      <c r="N30" s="11" t="s"/>
      <c r="O30" s="11" t="s"/>
      <c r="P30" s="11" t="s"/>
      <c r="Q30" s="11" t="s"/>
      <c r="R30" s="11" t="s"/>
      <c r="S30" s="11" t="s"/>
      <c r="T30" s="11" t="s"/>
      <c r="U30" s="123" t="s">
        <v>2393</v>
      </c>
      <c r="V30" s="92">
        <v>16.4</v>
      </c>
      <c r="W30" s="92" t="s">
        <v>2392</v>
      </c>
      <c r="X30" s="92" t="s">
        <v>2392</v>
      </c>
      <c r="Y30" s="93">
        <v>0.552933243425489</v>
      </c>
      <c r="Z30" s="92" t="s">
        <v>2392</v>
      </c>
      <c r="AA30" s="92" t="s">
        <v>2392</v>
      </c>
      <c r="AB30" s="11" t="s"/>
    </row>
    <row r="31" spans="1:28" ht="15" customHeight="true">
      <c r="A31" s="11" t="s"/>
      <c r="B31" s="11" t="s"/>
      <c r="C31" s="11" t="s"/>
      <c r="D31" s="11" t="s"/>
      <c r="E31" s="11" t="s"/>
      <c r="F31" s="11" t="s"/>
      <c r="G31" s="11" t="s"/>
      <c r="H31" s="11" t="s"/>
      <c r="I31" s="11" t="s"/>
      <c r="J31" s="11" t="s"/>
      <c r="K31" s="11" t="s"/>
      <c r="L31" s="11" t="s"/>
      <c r="M31" s="11" t="s"/>
      <c r="N31" s="11" t="s"/>
      <c r="O31" s="11" t="s"/>
      <c r="P31" s="11" t="s"/>
      <c r="Q31" s="11" t="s"/>
      <c r="R31" s="11" t="s"/>
      <c r="S31" s="11" t="s"/>
      <c r="T31" s="11" t="s"/>
      <c r="U31" s="123" t="s">
        <v>2394</v>
      </c>
      <c r="V31" s="92">
        <v>10.36</v>
      </c>
      <c r="W31" s="92" t="s">
        <v>2392</v>
      </c>
      <c r="X31" s="92" t="s">
        <v>2392</v>
      </c>
      <c r="Y31" s="93">
        <v>0.349291975724882</v>
      </c>
      <c r="Z31" s="92" t="s">
        <v>2392</v>
      </c>
      <c r="AA31" s="92" t="s">
        <v>2392</v>
      </c>
      <c r="AB31" s="11" t="s"/>
    </row>
    <row r="32" spans="1:28" ht="15" customHeight="true">
      <c r="A32" s="11" t="s"/>
      <c r="B32" s="11" t="s"/>
      <c r="C32" s="11" t="s"/>
      <c r="D32" s="11" t="s"/>
      <c r="E32" s="11" t="s"/>
      <c r="F32" s="11" t="s"/>
      <c r="G32" s="11" t="s"/>
      <c r="H32" s="11" t="s"/>
      <c r="I32" s="11" t="s"/>
      <c r="J32" s="11" t="s"/>
      <c r="K32" s="11" t="s"/>
      <c r="L32" s="11" t="s"/>
      <c r="M32" s="11" t="s"/>
      <c r="N32" s="11" t="s"/>
      <c r="O32" s="11" t="s"/>
      <c r="P32" s="11" t="s"/>
      <c r="Q32" s="11" t="s"/>
      <c r="R32" s="11" t="s"/>
      <c r="S32" s="11" t="s"/>
      <c r="T32" s="11" t="s"/>
      <c r="U32" s="123" t="s">
        <v>2395</v>
      </c>
      <c r="V32" s="92">
        <v>6.04</v>
      </c>
      <c r="W32" s="92" t="s">
        <v>2392</v>
      </c>
      <c r="X32" s="92" t="s">
        <v>2392</v>
      </c>
      <c r="Y32" s="93">
        <v>0.203641267700607</v>
      </c>
      <c r="Z32" s="92" t="s">
        <v>2392</v>
      </c>
      <c r="AA32" s="92" t="s">
        <v>2392</v>
      </c>
      <c r="AB32" s="11" t="s"/>
    </row>
    <row r="33" spans="1:28" ht="15" customHeight="true">
      <c r="A33" s="11" t="s"/>
      <c r="B33" s="11" t="s"/>
      <c r="C33" s="11" t="s"/>
      <c r="D33" s="11" t="s"/>
      <c r="E33" s="11" t="s"/>
      <c r="F33" s="11" t="s"/>
      <c r="G33" s="11" t="s"/>
      <c r="H33" s="11" t="s"/>
      <c r="I33" s="11" t="s"/>
      <c r="J33" s="11" t="s"/>
      <c r="K33" s="11" t="s"/>
      <c r="L33" s="11" t="s"/>
      <c r="M33" s="11" t="s"/>
      <c r="N33" s="11" t="s"/>
      <c r="O33" s="11" t="s"/>
      <c r="P33" s="11" t="s"/>
      <c r="Q33" s="11" t="s"/>
      <c r="R33" s="11" t="s"/>
      <c r="S33" s="11" t="s"/>
      <c r="T33" s="11" t="s"/>
      <c r="U33" s="123" t="s">
        <v>2396</v>
      </c>
      <c r="V33" s="92">
        <v>8.29</v>
      </c>
      <c r="W33" s="92" t="s">
        <v>2392</v>
      </c>
      <c r="X33" s="92" t="s">
        <v>2392</v>
      </c>
      <c r="Y33" s="93">
        <v>0.27950101146325</v>
      </c>
      <c r="Z33" s="92" t="s">
        <v>2392</v>
      </c>
      <c r="AA33" s="92" t="s">
        <v>2392</v>
      </c>
      <c r="AB33" s="11" t="s"/>
    </row>
    <row r="34" spans="1:28" ht="15" customHeight="true">
      <c r="A34" s="11" t="s"/>
      <c r="B34" s="11" t="s"/>
      <c r="C34" s="11" t="s"/>
      <c r="D34" s="11" t="s"/>
      <c r="E34" s="11" t="s"/>
      <c r="F34" s="11" t="s"/>
      <c r="G34" s="11" t="s"/>
      <c r="H34" s="11" t="s"/>
      <c r="I34" s="11" t="s"/>
      <c r="J34" s="11" t="s"/>
      <c r="K34" s="11" t="s"/>
      <c r="L34" s="11" t="s"/>
      <c r="M34" s="11" t="s"/>
      <c r="N34" s="11" t="s"/>
      <c r="O34" s="11" t="s"/>
      <c r="P34" s="11" t="s"/>
      <c r="Q34" s="11" t="s"/>
      <c r="R34" s="11" t="s"/>
      <c r="S34" s="11" t="s"/>
      <c r="T34" s="11" t="s"/>
      <c r="U34" s="123" t="s">
        <v>2397</v>
      </c>
      <c r="V34" s="92">
        <v>1.82</v>
      </c>
      <c r="W34" s="92" t="s">
        <v>2392</v>
      </c>
      <c r="X34" s="92" t="s">
        <v>2392</v>
      </c>
      <c r="Y34" s="93">
        <v>0.0613621038435604</v>
      </c>
      <c r="Z34" s="92" t="s">
        <v>2392</v>
      </c>
      <c r="AA34" s="92" t="s">
        <v>2392</v>
      </c>
      <c r="AB34" s="11" t="s"/>
    </row>
    <row r="35" spans="1:28" ht="15" customHeight="true">
      <c r="A35" s="11" t="s"/>
      <c r="B35" s="11" t="s"/>
      <c r="C35" s="11" t="s"/>
      <c r="D35" s="11" t="s"/>
      <c r="E35" s="11" t="s"/>
      <c r="F35" s="11" t="s"/>
      <c r="G35" s="11" t="s"/>
      <c r="H35" s="11" t="s"/>
      <c r="I35" s="11" t="s"/>
      <c r="J35" s="11" t="s"/>
      <c r="K35" s="11" t="s"/>
      <c r="L35" s="11" t="s"/>
      <c r="M35" s="11" t="s"/>
      <c r="N35" s="11" t="s"/>
      <c r="O35" s="11" t="s"/>
      <c r="P35" s="11" t="s"/>
      <c r="Q35" s="11" t="s"/>
      <c r="R35" s="11" t="s"/>
      <c r="S35" s="11" t="s"/>
      <c r="T35" s="11" t="s"/>
      <c r="U35" s="123" t="s">
        <v>2398</v>
      </c>
      <c r="V35" s="92">
        <v>6.2</v>
      </c>
      <c r="W35" s="92" t="s">
        <v>2392</v>
      </c>
      <c r="X35" s="92" t="s">
        <v>2392</v>
      </c>
      <c r="Y35" s="93">
        <v>0.209035738368173</v>
      </c>
      <c r="Z35" s="92" t="s">
        <v>2392</v>
      </c>
      <c r="AA35" s="92" t="s">
        <v>2392</v>
      </c>
      <c r="AB35" s="11" t="s"/>
    </row>
    <row r="36" spans="1:28" ht="15" customHeight="true">
      <c r="A36" s="11" t="s"/>
      <c r="B36" s="11" t="s"/>
      <c r="C36" s="11" t="s"/>
      <c r="D36" s="11" t="s"/>
      <c r="E36" s="11" t="s"/>
      <c r="F36" s="11" t="s"/>
      <c r="G36" s="11" t="s"/>
      <c r="H36" s="11" t="s"/>
      <c r="I36" s="11" t="s"/>
      <c r="J36" s="11" t="s"/>
      <c r="K36" s="11" t="s"/>
      <c r="L36" s="11" t="s"/>
      <c r="M36" s="11" t="s"/>
      <c r="N36" s="11" t="s"/>
      <c r="O36" s="11" t="s"/>
      <c r="P36" s="11" t="s"/>
      <c r="Q36" s="11" t="s"/>
      <c r="R36" s="11" t="s"/>
      <c r="S36" s="11" t="s"/>
      <c r="T36" s="11" t="s"/>
      <c r="U36" s="123" t="s">
        <v>2399</v>
      </c>
      <c r="V36" s="92">
        <v>0.27</v>
      </c>
      <c r="W36" s="92" t="s">
        <v>2392</v>
      </c>
      <c r="X36" s="92" t="s">
        <v>2392</v>
      </c>
      <c r="Y36" s="93">
        <v>0.0091031692515172</v>
      </c>
      <c r="Z36" s="92" t="s">
        <v>2392</v>
      </c>
      <c r="AA36" s="92" t="s">
        <v>2392</v>
      </c>
      <c r="AB36" s="11" t="s"/>
    </row>
    <row r="37" spans="1:28" ht="15" customHeight="true">
      <c r="A37" s="11" t="s"/>
      <c r="B37" s="11" t="s"/>
      <c r="C37" s="11" t="s"/>
      <c r="D37" s="11" t="s"/>
      <c r="E37" s="11" t="s"/>
      <c r="F37" s="11" t="s"/>
      <c r="G37" s="11" t="s"/>
      <c r="H37" s="11" t="s"/>
      <c r="I37" s="11" t="s"/>
      <c r="J37" s="11" t="s"/>
      <c r="K37" s="11" t="s"/>
      <c r="L37" s="11" t="s"/>
      <c r="M37" s="11" t="s"/>
      <c r="N37" s="11" t="s"/>
      <c r="O37" s="11" t="s"/>
      <c r="P37" s="11" t="s"/>
      <c r="Q37" s="11" t="s"/>
      <c r="R37" s="11" t="s"/>
      <c r="S37" s="11" t="s"/>
      <c r="T37" s="11" t="s"/>
      <c r="U37" s="123" t="s">
        <v>2400</v>
      </c>
      <c r="V37" s="92">
        <v>2.01</v>
      </c>
      <c r="W37" s="92" t="s">
        <v>2392</v>
      </c>
      <c r="X37" s="92" t="s">
        <v>2392</v>
      </c>
      <c r="Y37" s="93">
        <v>0.0677680377612947</v>
      </c>
      <c r="Z37" s="92" t="s">
        <v>2392</v>
      </c>
      <c r="AA37" s="92" t="s">
        <v>2392</v>
      </c>
      <c r="AB37" s="11" t="s"/>
    </row>
    <row r="38" spans="1:28" ht="15" customHeight="true">
      <c r="A38" s="11" t="s"/>
      <c r="B38" s="11" t="s"/>
      <c r="C38" s="11" t="s"/>
      <c r="D38" s="11" t="s"/>
      <c r="E38" s="11" t="s"/>
      <c r="F38" s="11" t="s"/>
      <c r="G38" s="11" t="s"/>
      <c r="H38" s="11" t="s"/>
      <c r="I38" s="11" t="s"/>
      <c r="J38" s="11" t="s"/>
      <c r="K38" s="11" t="s"/>
      <c r="L38" s="11" t="s"/>
      <c r="M38" s="11" t="s"/>
      <c r="N38" s="11" t="s"/>
      <c r="O38" s="11" t="s"/>
      <c r="P38" s="11" t="s"/>
      <c r="Q38" s="11" t="s"/>
      <c r="R38" s="11" t="s"/>
      <c r="S38" s="11" t="s"/>
      <c r="T38" s="11" t="s"/>
      <c r="U38" s="123" t="s">
        <v>2401</v>
      </c>
      <c r="V38" s="92">
        <v>0.65</v>
      </c>
      <c r="W38" s="92" t="s">
        <v>2392</v>
      </c>
      <c r="X38" s="92" t="s">
        <v>2392</v>
      </c>
      <c r="Y38" s="93">
        <v>0.0219150370869858</v>
      </c>
      <c r="Z38" s="92" t="s">
        <v>2392</v>
      </c>
      <c r="AA38" s="92" t="s">
        <v>2392</v>
      </c>
      <c r="AB38" s="11" t="s"/>
    </row>
    <row r="39" spans="1:28" ht="15" customHeight="true">
      <c r="A39" s="11" t="s"/>
      <c r="B39" s="11" t="s"/>
      <c r="C39" s="11" t="s"/>
      <c r="D39" s="11" t="s"/>
      <c r="E39" s="11" t="s"/>
      <c r="F39" s="11" t="s"/>
      <c r="G39" s="11" t="s"/>
      <c r="H39" s="11" t="s"/>
      <c r="I39" s="11" t="s"/>
      <c r="J39" s="11" t="s"/>
      <c r="K39" s="11" t="s"/>
      <c r="L39" s="11" t="s"/>
      <c r="M39" s="11" t="s"/>
      <c r="N39" s="11" t="s"/>
      <c r="O39" s="11" t="s"/>
      <c r="P39" s="11" t="s"/>
      <c r="Q39" s="11" t="s"/>
      <c r="R39" s="11" t="s"/>
      <c r="S39" s="11" t="s"/>
      <c r="T39" s="11" t="s"/>
      <c r="U39" s="91" t="s">
        <v>2402</v>
      </c>
      <c r="V39" s="92">
        <v>2</v>
      </c>
      <c r="W39" s="92">
        <v>2.44</v>
      </c>
      <c r="X39" s="92">
        <v>2.5</v>
      </c>
      <c r="Y39" s="93">
        <v>0.0674308833445718</v>
      </c>
      <c r="Z39" s="93">
        <v>0.0425977653631285</v>
      </c>
      <c r="AA39" s="93">
        <v>0.081672655994773</v>
      </c>
      <c r="AB39" s="11" t="s"/>
    </row>
    <row r="40" spans="1:28" ht="15" customHeight="true">
      <c r="A40" s="11" t="s"/>
      <c r="B40" s="11" t="s"/>
      <c r="C40" s="11" t="s"/>
      <c r="D40" s="11" t="s"/>
      <c r="E40" s="11" t="s"/>
      <c r="F40" s="11" t="s"/>
      <c r="G40" s="11" t="s"/>
      <c r="H40" s="11" t="s"/>
      <c r="I40" s="11" t="s"/>
      <c r="J40" s="11" t="s"/>
      <c r="K40" s="11" t="s"/>
      <c r="L40" s="11" t="s"/>
      <c r="M40" s="11" t="s"/>
      <c r="N40" s="11" t="s"/>
      <c r="O40" s="11" t="s"/>
      <c r="P40" s="11" t="s"/>
      <c r="Q40" s="11" t="s"/>
      <c r="R40" s="11" t="s"/>
      <c r="S40" s="11" t="s"/>
      <c r="T40" s="11" t="s"/>
      <c r="U40" s="91" t="s">
        <v>2403</v>
      </c>
      <c r="V40" s="92">
        <v>0.17</v>
      </c>
      <c r="W40" s="92">
        <v>0.39</v>
      </c>
      <c r="X40" s="92">
        <v>0.01</v>
      </c>
      <c r="Y40" s="93">
        <v>0.00573162508428861</v>
      </c>
      <c r="Z40" s="93">
        <v>0.0068086592178771</v>
      </c>
      <c r="AA40" s="93">
        <v>0.000326690623979092</v>
      </c>
      <c r="AB40" s="11" t="s"/>
    </row>
    <row r="41" spans="1:28">
      <c r="A41" s="11" t="s"/>
      <c r="B41" s="11" t="s"/>
      <c r="C41" s="11" t="s"/>
      <c r="D41" s="11" t="s"/>
      <c r="E41" s="11" t="s"/>
      <c r="F41" s="11" t="s"/>
      <c r="G41" s="11" t="s"/>
      <c r="H41" s="11" t="s"/>
      <c r="I41" s="11" t="s"/>
      <c r="J41" s="11" t="s"/>
      <c r="K41" s="11" t="s"/>
      <c r="L41" s="11" t="s"/>
      <c r="M41" s="11" t="s"/>
      <c r="N41" s="11" t="s"/>
      <c r="O41" s="11" t="s"/>
      <c r="P41" s="11" t="s"/>
      <c r="Q41" s="11" t="s"/>
      <c r="R41" s="11" t="s"/>
      <c r="S41" s="11" t="s"/>
      <c r="T41" s="11" t="s"/>
      <c r="U41" s="94" t="s">
        <v>2352</v>
      </c>
      <c r="V41" s="95">
        <v>0.15</v>
      </c>
      <c r="W41" s="95">
        <v>0.11</v>
      </c>
      <c r="X41" s="95">
        <v>0.03</v>
      </c>
      <c r="Y41" s="96">
        <v>0.00505731625084289</v>
      </c>
      <c r="Z41" s="96">
        <v>0.00192039106145251</v>
      </c>
      <c r="AA41" s="96">
        <v>0.000980071871937276</v>
      </c>
      <c r="AB41" s="11" t="s"/>
    </row>
    <row r="42" spans="1:28" ht="15.75" customHeight="true">
      <c r="A42" s="100" t="s">
        <v>2365</v>
      </c>
      <c r="B42" s="98" t="s">
        <v>2404</v>
      </c>
      <c r="C42" s="99" t="s">
        <v>2405</v>
      </c>
      <c r="D42" s="100" t="s">
        <v>2406</v>
      </c>
      <c r="E42" s="101">
        <v>38229</v>
      </c>
      <c r="F42" s="101">
        <v>43026</v>
      </c>
      <c r="G42" s="115" t="s">
        <v>2407</v>
      </c>
      <c r="H42" s="115" t="s">
        <v>2408</v>
      </c>
      <c r="I42" s="115" t="s">
        <v>2409</v>
      </c>
      <c r="J42" s="115" t="s">
        <v>2410</v>
      </c>
      <c r="K42" s="104">
        <v>22.5087879196</v>
      </c>
      <c r="L42" s="104">
        <v>25.2978138186</v>
      </c>
      <c r="M42" s="104">
        <v>19.5817545496</v>
      </c>
      <c r="N42" s="124">
        <v>3.1087</v>
      </c>
      <c r="O42" s="104">
        <v>29.7714</v>
      </c>
      <c r="P42" s="104">
        <v>26.7303</v>
      </c>
      <c r="Q42" s="104">
        <v>19.74</v>
      </c>
      <c r="R42" s="104">
        <v>1.051906167</v>
      </c>
      <c r="S42" s="104">
        <v>0.8472241645</v>
      </c>
      <c r="T42" s="104">
        <v>0.6109054866</v>
      </c>
      <c r="U42" s="106" t="s">
        <v>2411</v>
      </c>
      <c r="V42" s="107">
        <v>20.54</v>
      </c>
      <c r="W42" s="107">
        <v>24.24</v>
      </c>
      <c r="X42" s="107">
        <v>12.98</v>
      </c>
      <c r="Y42" s="108">
        <v>0.91248334073745</v>
      </c>
      <c r="Z42" s="108">
        <v>0.958102766798419</v>
      </c>
      <c r="AA42" s="108">
        <v>0.981845688350983</v>
      </c>
      <c r="AB42" s="104">
        <v>135.37647665691</v>
      </c>
    </row>
    <row r="43" spans="1:28">
      <c r="A43" s="11" t="s"/>
      <c r="B43" s="11" t="s"/>
      <c r="C43" s="11" t="s"/>
      <c r="D43" s="11" t="s"/>
      <c r="E43" s="11" t="s"/>
      <c r="F43" s="11" t="s"/>
      <c r="G43" s="11" t="s"/>
      <c r="H43" s="11" t="s"/>
      <c r="I43" s="11" t="s"/>
      <c r="J43" s="11" t="s"/>
      <c r="K43" s="11" t="s"/>
      <c r="L43" s="11" t="s"/>
      <c r="M43" s="11" t="s"/>
      <c r="N43" s="11" t="s"/>
      <c r="O43" s="11" t="s"/>
      <c r="P43" s="11" t="s"/>
      <c r="Q43" s="11" t="s"/>
      <c r="R43" s="11" t="s"/>
      <c r="S43" s="11" t="s"/>
      <c r="T43" s="11" t="s"/>
      <c r="U43" s="109" t="s">
        <v>2412</v>
      </c>
      <c r="V43" s="110">
        <v>1.1</v>
      </c>
      <c r="W43" s="110">
        <v>0.6</v>
      </c>
      <c r="X43" s="110">
        <v>0.02</v>
      </c>
      <c r="Y43" s="111">
        <v>0.0488671701466015</v>
      </c>
      <c r="Z43" s="111">
        <v>0.0237154150197628</v>
      </c>
      <c r="AA43" s="111">
        <v>0.00151285930408472</v>
      </c>
      <c r="AB43" s="11" t="s"/>
    </row>
    <row r="44" spans="1:28" ht="15" customHeight="true">
      <c r="A44" s="11" t="s"/>
      <c r="B44" s="11" t="s"/>
      <c r="C44" s="11" t="s"/>
      <c r="D44" s="11" t="s"/>
      <c r="E44" s="11" t="s"/>
      <c r="F44" s="11" t="s"/>
      <c r="G44" s="11" t="s"/>
      <c r="H44" s="11" t="s"/>
      <c r="I44" s="11" t="s"/>
      <c r="J44" s="11" t="s"/>
      <c r="K44" s="11" t="s"/>
      <c r="L44" s="11" t="s"/>
      <c r="M44" s="11" t="s"/>
      <c r="N44" s="11" t="s"/>
      <c r="O44" s="11" t="s"/>
      <c r="P44" s="11" t="s"/>
      <c r="Q44" s="11" t="s"/>
      <c r="R44" s="11" t="s"/>
      <c r="S44" s="11" t="s"/>
      <c r="T44" s="11" t="s"/>
      <c r="U44" s="91" t="s">
        <v>2413</v>
      </c>
      <c r="V44" s="92">
        <v>0.79</v>
      </c>
      <c r="W44" s="92">
        <v>0.41</v>
      </c>
      <c r="X44" s="92">
        <v>0.16</v>
      </c>
      <c r="Y44" s="93">
        <v>0.0350955131052865</v>
      </c>
      <c r="Z44" s="93">
        <v>0.0162055335968379</v>
      </c>
      <c r="AA44" s="93">
        <v>0.0121028744326778</v>
      </c>
      <c r="AB44" s="11" t="s"/>
    </row>
    <row r="45" spans="1:28">
      <c r="A45" s="11" t="s"/>
      <c r="B45" s="11" t="s"/>
      <c r="C45" s="11" t="s"/>
      <c r="D45" s="11" t="s"/>
      <c r="E45" s="11" t="s"/>
      <c r="F45" s="11" t="s"/>
      <c r="G45" s="11" t="s"/>
      <c r="H45" s="11" t="s"/>
      <c r="I45" s="11" t="s"/>
      <c r="J45" s="11" t="s"/>
      <c r="K45" s="11" t="s"/>
      <c r="L45" s="11" t="s"/>
      <c r="M45" s="11" t="s"/>
      <c r="N45" s="11" t="s"/>
      <c r="O45" s="11" t="s"/>
      <c r="P45" s="11" t="s"/>
      <c r="Q45" s="11" t="s"/>
      <c r="R45" s="11" t="s"/>
      <c r="S45" s="11" t="s"/>
      <c r="T45" s="11" t="s"/>
      <c r="U45" s="94" t="s">
        <v>2352</v>
      </c>
      <c r="V45" s="95">
        <v>0.08</v>
      </c>
      <c r="W45" s="95">
        <v>0.05</v>
      </c>
      <c r="X45" s="95">
        <v>0.06</v>
      </c>
      <c r="Y45" s="96">
        <v>0.00355397601066193</v>
      </c>
      <c r="Z45" s="96">
        <v>0.00197628458498024</v>
      </c>
      <c r="AA45" s="96">
        <v>0.00453857791225416</v>
      </c>
      <c r="AB45" s="11" t="s"/>
    </row>
    <row r="46" spans="1:28" ht="15.75" customHeight="true">
      <c r="A46" s="100" t="s">
        <v>2365</v>
      </c>
      <c r="B46" s="103" t="s">
        <v>2414</v>
      </c>
      <c r="C46" s="99" t="s">
        <v>2415</v>
      </c>
      <c r="D46" s="100" t="s">
        <v>2416</v>
      </c>
      <c r="E46" s="101">
        <v>40429</v>
      </c>
      <c r="F46" s="101">
        <v>43413</v>
      </c>
      <c r="G46" s="115" t="s">
        <v>2417</v>
      </c>
      <c r="H46" s="115" t="s">
        <v>2418</v>
      </c>
      <c r="I46" s="115" t="s">
        <v>2419</v>
      </c>
      <c r="J46" s="115" t="s">
        <v>2420</v>
      </c>
      <c r="K46" s="104">
        <v>80.8854915274</v>
      </c>
      <c r="L46" s="104">
        <v>98.3035663551</v>
      </c>
      <c r="M46" s="104">
        <v>62.0354253018</v>
      </c>
      <c r="N46" s="125">
        <v>-20.1296</v>
      </c>
      <c r="O46" s="104">
        <v>30.5128</v>
      </c>
      <c r="P46" s="104">
        <v>28.1126</v>
      </c>
      <c r="Q46" s="104">
        <v>35.6862</v>
      </c>
      <c r="R46" s="104">
        <v>8.7451360182</v>
      </c>
      <c r="S46" s="104">
        <v>9.6358867788</v>
      </c>
      <c r="T46" s="104">
        <v>6.6457427469</v>
      </c>
      <c r="U46" s="106" t="s">
        <v>2421</v>
      </c>
      <c r="V46" s="107">
        <v>70.98</v>
      </c>
      <c r="W46" s="107">
        <v>90.05</v>
      </c>
      <c r="X46" s="107">
        <v>31.59</v>
      </c>
      <c r="Y46" s="108">
        <v>0.87759643916914</v>
      </c>
      <c r="Z46" s="108">
        <v>0.915980063065812</v>
      </c>
      <c r="AA46" s="108">
        <v>0.749821979586993</v>
      </c>
      <c r="AB46" s="104">
        <v>103.64252489709</v>
      </c>
    </row>
    <row r="47" spans="1:28" ht="15" customHeight="true">
      <c r="A47" s="11" t="s"/>
      <c r="B47" s="11" t="s"/>
      <c r="C47" s="11" t="s"/>
      <c r="D47" s="11" t="s"/>
      <c r="E47" s="11" t="s"/>
      <c r="F47" s="11" t="s"/>
      <c r="G47" s="11" t="s"/>
      <c r="H47" s="11" t="s"/>
      <c r="I47" s="11" t="s"/>
      <c r="J47" s="11" t="s"/>
      <c r="K47" s="11" t="s"/>
      <c r="L47" s="11" t="s"/>
      <c r="M47" s="11" t="s"/>
      <c r="N47" s="11" t="s"/>
      <c r="O47" s="11" t="s"/>
      <c r="P47" s="11" t="s"/>
      <c r="Q47" s="11" t="s"/>
      <c r="R47" s="11" t="s"/>
      <c r="S47" s="11" t="s"/>
      <c r="T47" s="11" t="s"/>
      <c r="U47" s="91" t="s">
        <v>2422</v>
      </c>
      <c r="V47" s="92">
        <v>3.46</v>
      </c>
      <c r="W47" s="92">
        <v>4.74</v>
      </c>
      <c r="X47" s="92">
        <v>2.91</v>
      </c>
      <c r="Y47" s="93">
        <v>0.0427794263105836</v>
      </c>
      <c r="Z47" s="93">
        <v>0.0482148306377785</v>
      </c>
      <c r="AA47" s="93">
        <v>0.069071920246855</v>
      </c>
      <c r="AB47" s="11" t="s"/>
    </row>
    <row r="48" spans="1:28">
      <c r="A48" s="11" t="s"/>
      <c r="B48" s="11" t="s"/>
      <c r="C48" s="11" t="s"/>
      <c r="D48" s="11" t="s"/>
      <c r="E48" s="11" t="s"/>
      <c r="F48" s="11" t="s"/>
      <c r="G48" s="11" t="s"/>
      <c r="H48" s="11" t="s"/>
      <c r="I48" s="11" t="s"/>
      <c r="J48" s="11" t="s"/>
      <c r="K48" s="11" t="s"/>
      <c r="L48" s="11" t="s"/>
      <c r="M48" s="11" t="s"/>
      <c r="N48" s="11" t="s"/>
      <c r="O48" s="11" t="s"/>
      <c r="P48" s="11" t="s"/>
      <c r="Q48" s="11" t="s"/>
      <c r="R48" s="11" t="s"/>
      <c r="S48" s="11" t="s"/>
      <c r="T48" s="11" t="s"/>
      <c r="U48" s="94" t="s">
        <v>2423</v>
      </c>
      <c r="V48" s="95">
        <v>6.44</v>
      </c>
      <c r="W48" s="95">
        <v>3.52</v>
      </c>
      <c r="X48" s="95">
        <v>7.63</v>
      </c>
      <c r="Y48" s="96">
        <v>0.079624134520277</v>
      </c>
      <c r="Z48" s="96">
        <v>0.0358051062964093</v>
      </c>
      <c r="AA48" s="96">
        <v>0.181106100166152</v>
      </c>
      <c r="AB48" s="11" t="s"/>
    </row>
    <row r="49" spans="1:28" ht="15.75" customHeight="true">
      <c r="A49" s="100" t="s">
        <v>2365</v>
      </c>
      <c r="B49" s="98" t="s">
        <v>2424</v>
      </c>
      <c r="C49" s="99" t="s">
        <v>2425</v>
      </c>
      <c r="D49" s="100" t="s">
        <v>2426</v>
      </c>
      <c r="E49" s="101">
        <v>39563</v>
      </c>
      <c r="F49" s="101">
        <v>43602</v>
      </c>
      <c r="G49" s="115" t="s">
        <v>2427</v>
      </c>
      <c r="H49" s="115" t="s">
        <v>2428</v>
      </c>
      <c r="I49" s="115" t="s">
        <v>2429</v>
      </c>
      <c r="J49" s="115" t="s">
        <v>2430</v>
      </c>
      <c r="K49" s="104">
        <v>16.088969424</v>
      </c>
      <c r="L49" s="104">
        <v>20.1435149822</v>
      </c>
      <c r="M49" s="104">
        <v>17.8139580557</v>
      </c>
      <c r="N49" s="126">
        <v>23.6906</v>
      </c>
      <c r="O49" s="104">
        <v>48.3785</v>
      </c>
      <c r="P49" s="104">
        <v>46.9333</v>
      </c>
      <c r="Q49" s="104">
        <v>46.1955</v>
      </c>
      <c r="R49" s="104">
        <v>4.6118720035</v>
      </c>
      <c r="S49" s="104">
        <v>5.2761134235</v>
      </c>
      <c r="T49" s="104">
        <v>4.9613485958</v>
      </c>
      <c r="U49" s="106" t="s">
        <v>2431</v>
      </c>
      <c r="V49" s="107">
        <v>13.67</v>
      </c>
      <c r="W49" s="107">
        <v>19.94</v>
      </c>
      <c r="X49" s="107">
        <v>11.56</v>
      </c>
      <c r="Y49" s="108">
        <v>0.849596022374146</v>
      </c>
      <c r="Z49" s="108">
        <v>0.990069513406157</v>
      </c>
      <c r="AA49" s="108">
        <v>0.988034188034188</v>
      </c>
      <c r="AB49" s="104">
        <v>38.574053305347</v>
      </c>
    </row>
    <row r="50" spans="1:28" ht="15" customHeight="true">
      <c r="A50" s="11" t="s"/>
      <c r="B50" s="11" t="s"/>
      <c r="C50" s="11" t="s"/>
      <c r="D50" s="11" t="s"/>
      <c r="E50" s="11" t="s"/>
      <c r="F50" s="11" t="s"/>
      <c r="G50" s="11" t="s"/>
      <c r="H50" s="11" t="s"/>
      <c r="I50" s="11" t="s"/>
      <c r="J50" s="11" t="s"/>
      <c r="K50" s="11" t="s"/>
      <c r="L50" s="11" t="s"/>
      <c r="M50" s="11" t="s"/>
      <c r="N50" s="11" t="s"/>
      <c r="O50" s="11" t="s"/>
      <c r="P50" s="11" t="s"/>
      <c r="Q50" s="11" t="s"/>
      <c r="R50" s="11" t="s"/>
      <c r="S50" s="11" t="s"/>
      <c r="T50" s="11" t="s"/>
      <c r="U50" s="91" t="s">
        <v>2432</v>
      </c>
      <c r="V50" s="92">
        <v>2.34</v>
      </c>
      <c r="W50" s="92">
        <v>0.2</v>
      </c>
      <c r="X50" s="92">
        <v>0.14</v>
      </c>
      <c r="Y50" s="93">
        <v>0.145431945307645</v>
      </c>
      <c r="Z50" s="93">
        <v>0.0099304865938431</v>
      </c>
      <c r="AA50" s="93">
        <v>0.011965811965812</v>
      </c>
      <c r="AB50" s="11" t="s"/>
    </row>
    <row r="51" spans="1:28">
      <c r="A51" s="11" t="s"/>
      <c r="B51" s="11" t="s"/>
      <c r="C51" s="11" t="s"/>
      <c r="D51" s="11" t="s"/>
      <c r="E51" s="11" t="s"/>
      <c r="F51" s="11" t="s"/>
      <c r="G51" s="11" t="s"/>
      <c r="H51" s="11" t="s"/>
      <c r="I51" s="11" t="s"/>
      <c r="J51" s="11" t="s"/>
      <c r="K51" s="11" t="s"/>
      <c r="L51" s="11" t="s"/>
      <c r="M51" s="11" t="s"/>
      <c r="N51" s="11" t="s"/>
      <c r="O51" s="11" t="s"/>
      <c r="P51" s="11" t="s"/>
      <c r="Q51" s="11" t="s"/>
      <c r="R51" s="11" t="s"/>
      <c r="S51" s="11" t="s"/>
      <c r="T51" s="11" t="s"/>
      <c r="U51" s="94" t="s">
        <v>2433</v>
      </c>
      <c r="V51" s="95">
        <v>0.08</v>
      </c>
      <c r="W51" s="95" t="s">
        <v>2392</v>
      </c>
      <c r="X51" s="95" t="s">
        <v>2392</v>
      </c>
      <c r="Y51" s="96">
        <v>0.00497203231821007</v>
      </c>
      <c r="Z51" s="95" t="s">
        <v>2392</v>
      </c>
      <c r="AA51" s="95" t="s">
        <v>2392</v>
      </c>
      <c r="AB51" s="11" t="s"/>
    </row>
    <row r="52" spans="1:28">
      <c r="A52" s="100" t="s">
        <v>2434</v>
      </c>
      <c r="B52" s="100" t="s">
        <v>2404</v>
      </c>
      <c r="C52" s="99" t="s">
        <v>2435</v>
      </c>
      <c r="D52" s="100" t="s">
        <v>2436</v>
      </c>
      <c r="E52" s="127">
        <v>40210</v>
      </c>
      <c r="F52" s="127">
        <v>43972</v>
      </c>
      <c r="G52" s="115" t="s">
        <v>2437</v>
      </c>
      <c r="H52" s="115" t="s">
        <v>2438</v>
      </c>
      <c r="I52" s="115" t="s">
        <v>2439</v>
      </c>
      <c r="J52" s="115" t="s">
        <v>2440</v>
      </c>
      <c r="K52" s="100">
        <v>63.02198129</v>
      </c>
      <c r="L52" s="128">
        <v>91.9762975941</v>
      </c>
      <c r="M52" s="100">
        <v>46.71861478</v>
      </c>
      <c r="N52" s="129">
        <v>-32.6695</v>
      </c>
      <c r="O52" s="104">
        <v>36.5473</v>
      </c>
      <c r="P52" s="104">
        <v>32.899</v>
      </c>
      <c r="Q52" s="104">
        <v>30.1661</v>
      </c>
      <c r="R52" s="104">
        <v>12.5470091559</v>
      </c>
      <c r="S52" s="104">
        <v>13.2930292667</v>
      </c>
      <c r="T52" s="104">
        <v>3.4491526722</v>
      </c>
      <c r="U52" s="106" t="s">
        <v>2441</v>
      </c>
      <c r="V52" s="107">
        <v>53.64</v>
      </c>
      <c r="W52" s="107">
        <v>77.7</v>
      </c>
      <c r="X52" s="107">
        <v>26.65</v>
      </c>
      <c r="Y52" s="108">
        <v>0.851131603595228</v>
      </c>
      <c r="Z52" s="108">
        <v>0.844782862894714</v>
      </c>
      <c r="AA52" s="108">
        <v>0.788461538461539</v>
      </c>
      <c r="AB52" s="104">
        <v>66.613904895128</v>
      </c>
    </row>
    <row r="53" spans="1:28" ht="15" customHeight="true">
      <c r="A53" s="11" t="s"/>
      <c r="B53" s="11" t="s"/>
      <c r="C53" s="11" t="s"/>
      <c r="D53" s="11" t="s"/>
      <c r="E53" s="11" t="s"/>
      <c r="F53" s="11" t="s"/>
      <c r="G53" s="11" t="s"/>
      <c r="H53" s="11" t="s"/>
      <c r="I53" s="11" t="s"/>
      <c r="J53" s="11" t="s"/>
      <c r="K53" s="11" t="s"/>
      <c r="L53" s="11" t="s"/>
      <c r="M53" s="11" t="s"/>
      <c r="N53" s="11" t="s"/>
      <c r="O53" s="11" t="s"/>
      <c r="P53" s="11" t="s"/>
      <c r="Q53" s="11" t="s"/>
      <c r="R53" s="11" t="s"/>
      <c r="S53" s="11" t="s"/>
      <c r="T53" s="11" t="s"/>
      <c r="U53" s="98" t="s">
        <v>2442</v>
      </c>
      <c r="V53" s="95">
        <v>5.66</v>
      </c>
      <c r="W53" s="95">
        <v>9.05</v>
      </c>
      <c r="X53" s="95">
        <v>4.6</v>
      </c>
      <c r="Y53" s="93">
        <v>0.0898099343092653</v>
      </c>
      <c r="Z53" s="93">
        <v>0.0983949151762827</v>
      </c>
      <c r="AA53" s="93">
        <v>0.136094674556213</v>
      </c>
      <c r="AB53" s="11" t="s"/>
    </row>
    <row r="54" spans="1:28" ht="15" customHeight="true">
      <c r="A54" s="11" t="s"/>
      <c r="B54" s="11" t="s"/>
      <c r="C54" s="11" t="s"/>
      <c r="D54" s="11" t="s"/>
      <c r="E54" s="11" t="s"/>
      <c r="F54" s="11" t="s"/>
      <c r="G54" s="11" t="s"/>
      <c r="H54" s="11" t="s"/>
      <c r="I54" s="11" t="s"/>
      <c r="J54" s="11" t="s"/>
      <c r="K54" s="11" t="s"/>
      <c r="L54" s="11" t="s"/>
      <c r="M54" s="11" t="s"/>
      <c r="N54" s="11" t="s"/>
      <c r="O54" s="11" t="s"/>
      <c r="P54" s="11" t="s"/>
      <c r="Q54" s="11" t="s"/>
      <c r="R54" s="11" t="s"/>
      <c r="S54" s="11" t="s"/>
      <c r="T54" s="11" t="s"/>
      <c r="U54" s="98" t="s">
        <v>2443</v>
      </c>
      <c r="V54" s="95">
        <v>3.47</v>
      </c>
      <c r="W54" s="95">
        <v>4.6</v>
      </c>
      <c r="X54" s="95">
        <v>1.76</v>
      </c>
      <c r="Y54" s="93">
        <v>0.0550601540729948</v>
      </c>
      <c r="Z54" s="93">
        <v>0.0500128850619779</v>
      </c>
      <c r="AA54" s="93">
        <v>0.0520710059171598</v>
      </c>
      <c r="AB54" s="11" t="s"/>
    </row>
    <row r="55" spans="1:28" ht="15" customHeight="true">
      <c r="A55" s="11" t="s"/>
      <c r="B55" s="11" t="s"/>
      <c r="C55" s="11" t="s"/>
      <c r="D55" s="11" t="s"/>
      <c r="E55" s="11" t="s"/>
      <c r="F55" s="11" t="s"/>
      <c r="G55" s="11" t="s"/>
      <c r="H55" s="11" t="s"/>
      <c r="I55" s="11" t="s"/>
      <c r="J55" s="11" t="s"/>
      <c r="K55" s="11" t="s"/>
      <c r="L55" s="11" t="s"/>
      <c r="M55" s="11" t="s"/>
      <c r="N55" s="11" t="s"/>
      <c r="O55" s="11" t="s"/>
      <c r="P55" s="11" t="s"/>
      <c r="Q55" s="11" t="s"/>
      <c r="R55" s="11" t="s"/>
      <c r="S55" s="11" t="s"/>
      <c r="T55" s="11" t="s"/>
      <c r="U55" s="98" t="s">
        <v>2444</v>
      </c>
      <c r="V55" s="95">
        <v>0.21</v>
      </c>
      <c r="W55" s="95">
        <v>0.46</v>
      </c>
      <c r="X55" s="95">
        <v>0.72</v>
      </c>
      <c r="Y55" s="93">
        <v>0.00333217070758758</v>
      </c>
      <c r="Z55" s="93">
        <v>0.00500128850619779</v>
      </c>
      <c r="AA55" s="93">
        <v>0.021301775147929</v>
      </c>
      <c r="AB55" s="11" t="s"/>
    </row>
    <row r="56" spans="1:28">
      <c r="A56" s="11" t="s"/>
      <c r="B56" s="11" t="s"/>
      <c r="C56" s="11" t="s"/>
      <c r="D56" s="11" t="s"/>
      <c r="E56" s="11" t="s"/>
      <c r="F56" s="11" t="s"/>
      <c r="G56" s="11" t="s"/>
      <c r="H56" s="11" t="s"/>
      <c r="I56" s="11" t="s"/>
      <c r="J56" s="11" t="s"/>
      <c r="K56" s="11" t="s"/>
      <c r="L56" s="11" t="s"/>
      <c r="M56" s="11" t="s"/>
      <c r="N56" s="11" t="s"/>
      <c r="O56" s="11" t="s"/>
      <c r="P56" s="11" t="s"/>
      <c r="Q56" s="11" t="s"/>
      <c r="R56" s="11" t="s"/>
      <c r="S56" s="11" t="s"/>
      <c r="T56" s="11" t="s"/>
      <c r="U56" s="94" t="s">
        <v>2352</v>
      </c>
      <c r="V56" s="95">
        <v>0.05</v>
      </c>
      <c r="W56" s="95">
        <v>0.16</v>
      </c>
      <c r="X56" s="95">
        <v>0.07</v>
      </c>
      <c r="Y56" s="93">
        <v>0.000793373977997043</v>
      </c>
      <c r="Z56" s="93">
        <v>0.00173957861085141</v>
      </c>
      <c r="AA56" s="93">
        <v>0.00207100591715976</v>
      </c>
      <c r="AB56" s="11" t="s"/>
    </row>
    <row r="57" spans="1:28">
      <c r="A57" s="130" t="s"/>
      <c r="B57" s="131" t="s"/>
      <c r="C57" s="132" t="s"/>
      <c r="D57" s="130" t="s"/>
      <c r="E57" s="130" t="s"/>
      <c r="F57" s="130" t="s"/>
      <c r="G57" s="133" t="s"/>
      <c r="H57" s="133" t="s"/>
      <c r="I57" s="134" t="s"/>
      <c r="J57" s="134" t="s"/>
      <c r="K57" s="131" t="s"/>
      <c r="L57" s="131" t="s"/>
      <c r="M57" s="131" t="s"/>
      <c r="N57" s="131" t="s"/>
      <c r="O57" s="131" t="s"/>
      <c r="P57" s="131" t="s"/>
      <c r="Q57" s="131" t="s"/>
      <c r="R57" s="131" t="s"/>
      <c r="S57" s="131" t="s"/>
      <c r="T57" s="131" t="s"/>
      <c r="U57" s="135" t="s"/>
      <c r="V57" s="136" t="s"/>
      <c r="W57" s="136" t="s"/>
      <c r="X57" s="136" t="s"/>
      <c r="Y57" s="137" t="s"/>
      <c r="Z57" s="137" t="s"/>
      <c r="AA57" s="137" t="s"/>
      <c r="AB57" s="131" t="s"/>
    </row>
    <row r="58" spans="1:28">
      <c r="A58" s="130" t="s"/>
      <c r="B58" s="131" t="s"/>
      <c r="C58" s="132" t="s"/>
      <c r="D58" s="130" t="s"/>
      <c r="E58" s="130" t="s"/>
      <c r="F58" s="130" t="s"/>
      <c r="G58" s="133" t="s"/>
      <c r="H58" s="133" t="s"/>
      <c r="I58" s="134" t="s"/>
      <c r="J58" s="134" t="s"/>
      <c r="K58" s="131" t="s"/>
      <c r="L58" s="131" t="s"/>
      <c r="M58" s="131" t="s"/>
      <c r="N58" s="131" t="s"/>
      <c r="O58" s="131" t="s"/>
      <c r="P58" s="131" t="s"/>
      <c r="Q58" s="131" t="s"/>
      <c r="R58" s="131" t="s"/>
      <c r="S58" s="131" t="s"/>
      <c r="T58" s="131" t="s"/>
      <c r="U58" s="131" t="s"/>
      <c r="V58" s="131" t="s"/>
      <c r="W58" s="131" t="s"/>
      <c r="X58" s="131" t="s"/>
      <c r="Y58" s="138" t="s"/>
      <c r="Z58" s="131" t="s"/>
      <c r="AA58" s="131" t="s"/>
      <c r="AB58" s="131" t="s"/>
    </row>
    <row r="59" spans="1:28">
      <c r="A59" s="130" t="s"/>
      <c r="B59" s="131" t="s"/>
      <c r="C59" s="132" t="s"/>
      <c r="D59" s="130" t="s"/>
      <c r="E59" s="130" t="s"/>
      <c r="F59" s="130" t="s"/>
      <c r="G59" s="133" t="s"/>
      <c r="H59" s="133" t="s"/>
      <c r="I59" s="134" t="s"/>
      <c r="J59" s="134" t="s"/>
      <c r="K59" s="131" t="s"/>
      <c r="L59" s="131" t="s"/>
      <c r="M59" s="131" t="s"/>
      <c r="N59" s="131" t="s"/>
      <c r="O59" s="131" t="s"/>
      <c r="P59" s="131" t="s"/>
      <c r="Q59" s="131" t="s"/>
      <c r="R59" s="131" t="s"/>
      <c r="S59" s="131" t="s"/>
      <c r="T59" s="131" t="s"/>
      <c r="U59" s="131" t="s"/>
      <c r="V59" s="131" t="s"/>
      <c r="W59" s="131" t="s"/>
      <c r="X59" s="131" t="s"/>
      <c r="Y59" s="131" t="s"/>
      <c r="Z59" s="131" t="s"/>
      <c r="AA59" s="131" t="s"/>
      <c r="AB59" s="131" t="s"/>
    </row>
    <row r="60" spans="1:28">
      <c r="A60" s="130" t="s"/>
      <c r="B60" s="131" t="s"/>
      <c r="C60" s="132" t="s"/>
      <c r="D60" s="130" t="s"/>
      <c r="E60" s="130" t="s"/>
      <c r="F60" s="130" t="s"/>
      <c r="G60" s="133" t="s"/>
      <c r="H60" s="133" t="s"/>
      <c r="I60" s="134" t="s"/>
      <c r="J60" s="134" t="s"/>
      <c r="K60" s="131" t="s"/>
      <c r="L60" s="131" t="s"/>
      <c r="M60" s="131" t="s"/>
      <c r="N60" s="131" t="s"/>
      <c r="O60" s="131" t="s"/>
      <c r="P60" s="131" t="s"/>
      <c r="Q60" s="131" t="s"/>
      <c r="R60" s="131" t="s"/>
      <c r="S60" s="131" t="s"/>
      <c r="T60" s="131" t="s"/>
      <c r="U60" s="131" t="s"/>
      <c r="V60" s="131" t="s"/>
      <c r="W60" s="131" t="s"/>
      <c r="X60" s="131" t="s"/>
      <c r="Y60" s="131" t="s"/>
      <c r="Z60" s="131" t="s"/>
      <c r="AA60" s="139" t="s"/>
      <c r="AB60" s="131" t="s"/>
    </row>
    <row r="61" spans="1:28">
      <c r="A61" s="130" t="s"/>
      <c r="B61" s="131" t="s"/>
      <c r="C61" s="132" t="s"/>
      <c r="D61" s="130" t="s"/>
      <c r="E61" s="130" t="s"/>
      <c r="F61" s="130" t="s"/>
      <c r="G61" s="133" t="s"/>
      <c r="H61" s="133" t="s"/>
      <c r="I61" s="134" t="s"/>
      <c r="J61" s="134" t="s"/>
      <c r="K61" s="131" t="s"/>
      <c r="L61" s="131" t="s"/>
      <c r="M61" s="131" t="s"/>
      <c r="N61" s="131" t="s"/>
      <c r="O61" s="131" t="s"/>
      <c r="P61" s="131" t="s"/>
      <c r="Q61" s="131" t="s"/>
      <c r="R61" s="131" t="s"/>
      <c r="S61" s="131" t="s"/>
      <c r="T61" s="131" t="s"/>
      <c r="U61" s="131" t="s"/>
      <c r="V61" s="131" t="s"/>
      <c r="W61" s="131" t="s"/>
      <c r="X61" s="131" t="s"/>
      <c r="Y61" s="131" t="s"/>
      <c r="Z61" s="131" t="s"/>
      <c r="AA61" s="131" t="s"/>
      <c r="AB61" s="131" t="s"/>
    </row>
    <row r="62" spans="1:28">
      <c r="A62" s="130" t="s"/>
      <c r="B62" s="131" t="s"/>
      <c r="C62" s="132" t="s"/>
      <c r="D62" s="130" t="s"/>
      <c r="E62" s="130" t="s"/>
      <c r="F62" s="130" t="s"/>
      <c r="G62" s="133" t="s"/>
      <c r="H62" s="133" t="s"/>
      <c r="I62" s="134" t="s"/>
      <c r="J62" s="134" t="s"/>
      <c r="K62" s="131" t="s"/>
      <c r="L62" s="131" t="s"/>
      <c r="M62" s="131" t="s"/>
      <c r="N62" s="131" t="s"/>
      <c r="O62" s="131" t="s"/>
      <c r="P62" s="131" t="s"/>
      <c r="Q62" s="131" t="s"/>
      <c r="R62" s="131" t="s"/>
      <c r="S62" s="131" t="s"/>
      <c r="T62" s="131" t="s"/>
      <c r="U62" s="131" t="s"/>
      <c r="V62" s="131" t="s"/>
      <c r="W62" s="131" t="s"/>
      <c r="X62" s="131" t="s"/>
      <c r="Y62" s="131" t="s"/>
      <c r="Z62" s="131" t="s"/>
      <c r="AA62" s="131" t="s"/>
      <c r="AB62" s="131" t="s"/>
    </row>
    <row r="63" spans="1:28">
      <c r="A63" s="130" t="s"/>
      <c r="B63" s="131" t="s"/>
      <c r="C63" s="132" t="s"/>
      <c r="D63" s="130" t="s"/>
      <c r="E63" s="130" t="s"/>
      <c r="F63" s="130" t="s"/>
      <c r="G63" s="133" t="s"/>
      <c r="H63" s="133" t="s"/>
      <c r="I63" s="134" t="s"/>
      <c r="J63" s="134" t="s"/>
      <c r="K63" s="131" t="s"/>
      <c r="L63" s="131" t="s"/>
      <c r="M63" s="131" t="s"/>
      <c r="N63" s="131" t="s"/>
      <c r="O63" s="131" t="s"/>
      <c r="P63" s="131" t="s"/>
      <c r="Q63" s="131" t="s"/>
      <c r="R63" s="131" t="s"/>
      <c r="S63" s="131" t="s"/>
      <c r="T63" s="131" t="s"/>
      <c r="U63" s="131" t="s"/>
      <c r="V63" s="131" t="s"/>
      <c r="W63" s="131" t="s"/>
      <c r="X63" s="131" t="s"/>
      <c r="Y63" s="131" t="s"/>
      <c r="Z63" s="131" t="s"/>
      <c r="AA63" s="131" t="s"/>
      <c r="AB63" s="131" t="s"/>
    </row>
    <row r="64" spans="1:28">
      <c r="A64" s="130" t="s"/>
      <c r="B64" s="131" t="s"/>
      <c r="C64" s="132" t="s"/>
      <c r="D64" s="130" t="s"/>
      <c r="E64" s="130" t="s"/>
      <c r="F64" s="130" t="s"/>
      <c r="G64" s="133" t="s"/>
      <c r="H64" s="133" t="s"/>
      <c r="I64" s="134" t="s"/>
      <c r="J64" s="134" t="s"/>
      <c r="K64" s="131" t="s"/>
      <c r="L64" s="131" t="s"/>
      <c r="M64" s="131" t="s"/>
      <c r="N64" s="131" t="s"/>
      <c r="O64" s="131" t="s"/>
      <c r="P64" s="131" t="s"/>
      <c r="Q64" s="131" t="s"/>
      <c r="R64" s="131" t="s"/>
      <c r="S64" s="131" t="s"/>
      <c r="T64" s="131" t="s"/>
      <c r="U64" s="131" t="s"/>
      <c r="V64" s="131" t="s"/>
      <c r="W64" s="131" t="s"/>
      <c r="X64" s="131" t="s"/>
      <c r="Y64" s="131" t="s"/>
      <c r="Z64" s="131" t="s"/>
      <c r="AA64" s="131" t="s"/>
      <c r="AB64" s="131" t="s"/>
    </row>
    <row r="65" spans="1:28">
      <c r="A65" s="130" t="s"/>
      <c r="B65" s="131" t="s"/>
      <c r="C65" s="132" t="s"/>
      <c r="D65" s="130" t="s"/>
      <c r="E65" s="130" t="s"/>
      <c r="F65" s="130" t="s"/>
      <c r="G65" s="133" t="s"/>
      <c r="H65" s="133" t="s"/>
      <c r="I65" s="134" t="s"/>
      <c r="J65" s="134" t="s"/>
      <c r="K65" s="131" t="s"/>
      <c r="L65" s="131" t="s"/>
      <c r="M65" s="131" t="s"/>
      <c r="N65" s="131" t="s"/>
      <c r="O65" s="131" t="s"/>
      <c r="P65" s="131" t="s"/>
      <c r="Q65" s="131" t="s"/>
      <c r="R65" s="131" t="s"/>
      <c r="S65" s="131" t="s"/>
      <c r="T65" s="131" t="s"/>
      <c r="U65" s="131" t="s"/>
      <c r="V65" s="131" t="s"/>
      <c r="W65" s="131" t="s"/>
      <c r="X65" s="131" t="s"/>
      <c r="Y65" s="131" t="s"/>
      <c r="Z65" s="131" t="s"/>
      <c r="AA65" s="131" t="s"/>
      <c r="AB65" s="131" t="s"/>
    </row>
    <row r="66" spans="1:28">
      <c r="A66" s="130" t="s"/>
      <c r="B66" s="131" t="s"/>
      <c r="C66" s="132" t="s"/>
      <c r="D66" s="130" t="s"/>
      <c r="E66" s="130" t="s"/>
      <c r="F66" s="130" t="s"/>
      <c r="G66" s="133" t="s"/>
      <c r="H66" s="133" t="s"/>
      <c r="I66" s="134" t="s"/>
      <c r="J66" s="134" t="s"/>
      <c r="K66" s="131" t="s"/>
      <c r="L66" s="131" t="s"/>
      <c r="M66" s="131" t="s"/>
      <c r="N66" s="131" t="s"/>
      <c r="O66" s="131" t="s"/>
      <c r="P66" s="131" t="s"/>
      <c r="Q66" s="131" t="s"/>
      <c r="R66" s="131" t="s"/>
      <c r="S66" s="131" t="s"/>
      <c r="T66" s="131" t="s"/>
      <c r="U66" s="131" t="s"/>
      <c r="V66" s="131" t="s"/>
      <c r="W66" s="131" t="s"/>
      <c r="X66" s="131" t="s"/>
      <c r="Y66" s="131" t="s"/>
      <c r="Z66" s="131" t="s"/>
      <c r="AA66" s="131" t="s"/>
      <c r="AB66" s="131" t="s"/>
    </row>
    <row r="67" spans="1:28">
      <c r="A67" s="130" t="s"/>
      <c r="B67" s="131" t="s"/>
      <c r="C67" s="132" t="s"/>
      <c r="D67" s="130" t="s"/>
      <c r="E67" s="130" t="s"/>
      <c r="F67" s="130" t="s"/>
      <c r="G67" s="133" t="s"/>
      <c r="H67" s="133" t="s"/>
      <c r="I67" s="134" t="s"/>
      <c r="J67" s="134" t="s"/>
      <c r="K67" s="131" t="s"/>
      <c r="L67" s="131" t="s"/>
      <c r="M67" s="131" t="s"/>
      <c r="N67" s="131" t="s"/>
      <c r="O67" s="131" t="s"/>
      <c r="P67" s="131" t="s"/>
      <c r="Q67" s="131" t="s"/>
      <c r="R67" s="131" t="s"/>
      <c r="S67" s="131" t="s"/>
      <c r="T67" s="131" t="s"/>
      <c r="U67" s="131" t="s"/>
      <c r="V67" s="131" t="s"/>
      <c r="W67" s="131" t="s"/>
      <c r="X67" s="131" t="s"/>
      <c r="Y67" s="131" t="s"/>
      <c r="Z67" s="131" t="s"/>
      <c r="AA67" s="131" t="s"/>
      <c r="AB67" s="131" t="s"/>
    </row>
    <row r="68" spans="1:28">
      <c r="A68" s="130" t="s"/>
      <c r="B68" s="131" t="s"/>
      <c r="C68" s="132" t="s"/>
      <c r="D68" s="130" t="s"/>
      <c r="E68" s="130" t="s"/>
      <c r="F68" s="130" t="s"/>
      <c r="G68" s="133" t="s"/>
      <c r="H68" s="133" t="s"/>
      <c r="I68" s="134" t="s"/>
      <c r="J68" s="134" t="s"/>
      <c r="K68" s="131" t="s"/>
      <c r="L68" s="131" t="s"/>
      <c r="M68" s="131" t="s"/>
      <c r="N68" s="131" t="s"/>
      <c r="O68" s="131" t="s"/>
      <c r="P68" s="131" t="s"/>
      <c r="Q68" s="131" t="s"/>
      <c r="R68" s="131" t="s"/>
      <c r="S68" s="131" t="s"/>
      <c r="T68" s="131" t="s"/>
      <c r="U68" s="131" t="s"/>
      <c r="V68" s="131" t="s"/>
      <c r="W68" s="131" t="s"/>
      <c r="X68" s="131" t="s"/>
      <c r="Y68" s="131" t="s"/>
      <c r="Z68" s="131" t="s"/>
      <c r="AA68" s="131" t="s"/>
      <c r="AB68" s="131" t="s"/>
    </row>
    <row r="69" spans="1:28">
      <c r="A69" s="130" t="s"/>
      <c r="B69" s="131" t="s"/>
      <c r="C69" s="132" t="s"/>
      <c r="D69" s="130" t="s"/>
      <c r="E69" s="130" t="s"/>
      <c r="F69" s="130" t="s"/>
      <c r="G69" s="133" t="s"/>
      <c r="H69" s="133" t="s"/>
      <c r="I69" s="134" t="s"/>
      <c r="J69" s="134" t="s"/>
      <c r="K69" s="131" t="s"/>
      <c r="L69" s="131" t="s"/>
      <c r="M69" s="131" t="s"/>
      <c r="N69" s="131" t="s"/>
      <c r="O69" s="131" t="s"/>
      <c r="P69" s="131" t="s"/>
      <c r="Q69" s="131" t="s"/>
      <c r="R69" s="131" t="s"/>
      <c r="S69" s="131" t="s"/>
      <c r="T69" s="131" t="s"/>
      <c r="U69" s="131" t="s"/>
      <c r="V69" s="131" t="s"/>
      <c r="W69" s="131" t="s"/>
      <c r="X69" s="131" t="s"/>
      <c r="Y69" s="131" t="s"/>
      <c r="Z69" s="131" t="s"/>
      <c r="AA69" s="131" t="s"/>
      <c r="AB69" s="131" t="s"/>
    </row>
    <row r="70" spans="1:28">
      <c r="A70" s="130" t="s"/>
      <c r="B70" s="131" t="s"/>
      <c r="C70" s="132" t="s"/>
      <c r="D70" s="130" t="s"/>
      <c r="E70" s="130" t="s"/>
      <c r="F70" s="130" t="s"/>
      <c r="G70" s="133" t="s"/>
      <c r="H70" s="133" t="s"/>
      <c r="I70" s="134" t="s"/>
      <c r="J70" s="134" t="s"/>
      <c r="K70" s="131" t="s"/>
      <c r="L70" s="131" t="s"/>
      <c r="M70" s="131" t="s"/>
      <c r="N70" s="131" t="s"/>
      <c r="O70" s="131" t="s"/>
      <c r="P70" s="131" t="s"/>
      <c r="Q70" s="131" t="s"/>
      <c r="R70" s="131" t="s"/>
      <c r="S70" s="131" t="s"/>
      <c r="T70" s="131" t="s"/>
      <c r="U70" s="131" t="s"/>
      <c r="V70" s="131" t="s"/>
      <c r="W70" s="131" t="s"/>
      <c r="X70" s="131" t="s"/>
      <c r="Y70" s="131" t="s"/>
      <c r="Z70" s="131" t="s"/>
      <c r="AA70" s="131" t="s"/>
      <c r="AB70" s="131" t="s"/>
    </row>
    <row r="71" spans="1:28">
      <c r="A71" s="130" t="s"/>
      <c r="B71" s="131" t="s"/>
      <c r="C71" s="132" t="s"/>
      <c r="D71" s="130" t="s"/>
      <c r="E71" s="130" t="s"/>
      <c r="F71" s="130" t="s"/>
      <c r="G71" s="133" t="s"/>
      <c r="H71" s="133" t="s"/>
      <c r="I71" s="134" t="s"/>
      <c r="J71" s="134" t="s"/>
      <c r="K71" s="131" t="s"/>
      <c r="L71" s="131" t="s"/>
      <c r="M71" s="131" t="s"/>
      <c r="N71" s="131" t="s"/>
      <c r="O71" s="131" t="s"/>
      <c r="P71" s="131" t="s"/>
      <c r="Q71" s="131" t="s"/>
      <c r="R71" s="131" t="s"/>
      <c r="S71" s="131" t="s"/>
      <c r="T71" s="131" t="s"/>
      <c r="U71" s="131" t="s"/>
      <c r="V71" s="131" t="s"/>
      <c r="W71" s="131" t="s"/>
      <c r="X71" s="131" t="s"/>
      <c r="Y71" s="131" t="s"/>
      <c r="Z71" s="131" t="s"/>
      <c r="AA71" s="131" t="s"/>
      <c r="AB71" s="131" t="s"/>
    </row>
    <row r="72" spans="1:28">
      <c r="A72" s="130" t="s"/>
      <c r="B72" s="131" t="s"/>
      <c r="C72" s="132" t="s"/>
      <c r="D72" s="130" t="s"/>
      <c r="E72" s="130" t="s"/>
      <c r="F72" s="130" t="s"/>
      <c r="G72" s="133" t="s"/>
      <c r="H72" s="133" t="s"/>
      <c r="I72" s="134" t="s"/>
      <c r="J72" s="134" t="s"/>
      <c r="K72" s="131" t="s"/>
      <c r="L72" s="131" t="s"/>
      <c r="M72" s="131" t="s"/>
      <c r="N72" s="131" t="s"/>
      <c r="O72" s="131" t="s"/>
      <c r="P72" s="131" t="s"/>
      <c r="Q72" s="131" t="s"/>
      <c r="R72" s="131" t="s"/>
      <c r="S72" s="131" t="s"/>
      <c r="T72" s="131" t="s"/>
      <c r="U72" s="131" t="s"/>
      <c r="V72" s="131" t="s"/>
      <c r="W72" s="131" t="s"/>
      <c r="X72" s="131" t="s"/>
      <c r="Y72" s="131" t="s"/>
      <c r="Z72" s="131" t="s"/>
      <c r="AA72" s="131" t="s"/>
      <c r="AB72" s="131" t="s"/>
    </row>
    <row r="73" spans="1:28">
      <c r="A73" s="130" t="s"/>
      <c r="B73" s="131" t="s"/>
      <c r="C73" s="132" t="s"/>
      <c r="D73" s="130" t="s"/>
      <c r="E73" s="130" t="s"/>
      <c r="F73" s="130" t="s"/>
      <c r="G73" s="133" t="s"/>
      <c r="H73" s="133" t="s"/>
      <c r="I73" s="134" t="s"/>
      <c r="J73" s="134" t="s"/>
      <c r="K73" s="131" t="s"/>
      <c r="L73" s="131" t="s"/>
      <c r="M73" s="131" t="s"/>
      <c r="N73" s="131" t="s"/>
      <c r="O73" s="131" t="s"/>
      <c r="P73" s="131" t="s"/>
      <c r="Q73" s="131" t="s"/>
      <c r="R73" s="131" t="s"/>
      <c r="S73" s="131" t="s"/>
      <c r="T73" s="131" t="s"/>
      <c r="U73" s="131" t="s"/>
      <c r="V73" s="131" t="s"/>
      <c r="W73" s="131" t="s"/>
      <c r="X73" s="131" t="s"/>
      <c r="Y73" s="131" t="s"/>
      <c r="Z73" s="131" t="s"/>
      <c r="AA73" s="131" t="s"/>
      <c r="AB73" s="131" t="s"/>
    </row>
    <row r="74" spans="1:28">
      <c r="A74" s="130" t="s"/>
      <c r="B74" s="131" t="s"/>
      <c r="C74" s="132" t="s"/>
      <c r="D74" s="130" t="s"/>
      <c r="E74" s="130" t="s"/>
      <c r="F74" s="130" t="s"/>
      <c r="G74" s="133" t="s"/>
      <c r="H74" s="133" t="s"/>
      <c r="I74" s="134" t="s"/>
      <c r="J74" s="134" t="s"/>
      <c r="K74" s="131" t="s"/>
      <c r="L74" s="131" t="s"/>
      <c r="M74" s="131" t="s"/>
      <c r="N74" s="131" t="s"/>
      <c r="O74" s="131" t="s"/>
      <c r="P74" s="131" t="s"/>
      <c r="Q74" s="131" t="s"/>
      <c r="R74" s="131" t="s"/>
      <c r="S74" s="131" t="s"/>
      <c r="T74" s="131" t="s"/>
      <c r="U74" s="131" t="s"/>
      <c r="V74" s="131" t="s"/>
      <c r="W74" s="131" t="s"/>
      <c r="X74" s="131" t="s"/>
      <c r="Y74" s="131" t="s"/>
      <c r="Z74" s="131" t="s"/>
      <c r="AA74" s="131" t="s"/>
      <c r="AB74" s="131" t="s"/>
    </row>
    <row r="75" spans="1:28">
      <c r="A75" s="130" t="s"/>
      <c r="B75" s="131" t="s"/>
      <c r="C75" s="132" t="s"/>
      <c r="D75" s="130" t="s"/>
      <c r="E75" s="130" t="s"/>
      <c r="F75" s="130" t="s"/>
      <c r="G75" s="133" t="s"/>
      <c r="H75" s="133" t="s"/>
      <c r="I75" s="134" t="s"/>
      <c r="J75" s="134" t="s"/>
      <c r="K75" s="131" t="s"/>
      <c r="L75" s="131" t="s"/>
      <c r="M75" s="131" t="s"/>
      <c r="N75" s="131" t="s"/>
      <c r="O75" s="131" t="s"/>
      <c r="P75" s="131" t="s"/>
      <c r="Q75" s="131" t="s"/>
      <c r="R75" s="131" t="s"/>
      <c r="S75" s="131" t="s"/>
      <c r="T75" s="131" t="s"/>
      <c r="U75" s="131" t="s"/>
      <c r="V75" s="131" t="s"/>
      <c r="W75" s="131" t="s"/>
      <c r="X75" s="131" t="s"/>
      <c r="Y75" s="131" t="s"/>
      <c r="Z75" s="131" t="s"/>
      <c r="AA75" s="131" t="s"/>
      <c r="AB75" s="131" t="s"/>
    </row>
    <row r="76" spans="1:28">
      <c r="A76" s="130" t="s"/>
      <c r="B76" s="131" t="s"/>
      <c r="C76" s="132" t="s"/>
      <c r="D76" s="130" t="s"/>
      <c r="E76" s="130" t="s"/>
      <c r="F76" s="130" t="s"/>
      <c r="G76" s="133" t="s"/>
      <c r="H76" s="133" t="s"/>
      <c r="I76" s="134" t="s"/>
      <c r="J76" s="134" t="s"/>
      <c r="K76" s="131" t="s"/>
      <c r="L76" s="131" t="s"/>
      <c r="M76" s="131" t="s"/>
      <c r="N76" s="131" t="s"/>
      <c r="O76" s="131" t="s"/>
      <c r="P76" s="131" t="s"/>
      <c r="Q76" s="131" t="s"/>
      <c r="R76" s="131" t="s"/>
      <c r="S76" s="131" t="s"/>
      <c r="T76" s="131" t="s"/>
      <c r="U76" s="131" t="s"/>
      <c r="V76" s="131" t="s"/>
      <c r="W76" s="131" t="s"/>
      <c r="X76" s="131" t="s"/>
      <c r="Y76" s="131" t="s"/>
      <c r="Z76" s="131" t="s"/>
      <c r="AA76" s="131" t="s"/>
      <c r="AB76" s="131" t="s"/>
    </row>
    <row r="77" spans="1:28">
      <c r="A77" s="130" t="s"/>
      <c r="B77" s="131" t="s"/>
      <c r="C77" s="132" t="s"/>
      <c r="D77" s="130" t="s"/>
      <c r="E77" s="130" t="s"/>
      <c r="F77" s="130" t="s"/>
      <c r="G77" s="133" t="s"/>
      <c r="H77" s="133" t="s"/>
      <c r="I77" s="134" t="s"/>
      <c r="J77" s="134" t="s"/>
      <c r="K77" s="131" t="s"/>
      <c r="L77" s="131" t="s"/>
      <c r="M77" s="131" t="s"/>
      <c r="N77" s="131" t="s"/>
      <c r="O77" s="131" t="s"/>
      <c r="P77" s="131" t="s"/>
      <c r="Q77" s="131" t="s"/>
      <c r="R77" s="131" t="s"/>
      <c r="S77" s="131" t="s"/>
      <c r="T77" s="131" t="s"/>
      <c r="U77" s="131" t="s"/>
      <c r="V77" s="131" t="s"/>
      <c r="W77" s="131" t="s"/>
      <c r="X77" s="131" t="s"/>
      <c r="Y77" s="131" t="s"/>
      <c r="Z77" s="131" t="s"/>
      <c r="AA77" s="131" t="s"/>
      <c r="AB77" s="131" t="s"/>
    </row>
    <row r="78" spans="1:28">
      <c r="A78" s="130" t="s"/>
      <c r="B78" s="131" t="s"/>
      <c r="C78" s="132" t="s"/>
      <c r="D78" s="130" t="s"/>
      <c r="E78" s="130" t="s"/>
      <c r="F78" s="130" t="s"/>
      <c r="G78" s="133" t="s"/>
      <c r="H78" s="133" t="s"/>
      <c r="I78" s="134" t="s"/>
      <c r="J78" s="134" t="s"/>
      <c r="K78" s="131" t="s"/>
      <c r="L78" s="131" t="s"/>
      <c r="M78" s="131" t="s"/>
      <c r="N78" s="131" t="s"/>
      <c r="O78" s="131" t="s"/>
      <c r="P78" s="131" t="s"/>
      <c r="Q78" s="131" t="s"/>
      <c r="R78" s="131" t="s"/>
      <c r="S78" s="131" t="s"/>
      <c r="T78" s="131" t="s"/>
      <c r="U78" s="131" t="s"/>
      <c r="V78" s="131" t="s"/>
      <c r="W78" s="131" t="s"/>
      <c r="X78" s="131" t="s"/>
      <c r="Y78" s="131" t="s"/>
      <c r="Z78" s="131" t="s"/>
      <c r="AA78" s="131" t="s"/>
      <c r="AB78" s="131" t="s"/>
    </row>
    <row r="79" spans="1:28">
      <c r="A79" s="130" t="s"/>
      <c r="B79" s="131" t="s"/>
      <c r="C79" s="132" t="s"/>
      <c r="D79" s="130" t="s"/>
      <c r="E79" s="130" t="s"/>
      <c r="F79" s="130" t="s"/>
      <c r="G79" s="133" t="s"/>
      <c r="H79" s="133" t="s"/>
      <c r="I79" s="134" t="s"/>
      <c r="J79" s="134" t="s"/>
      <c r="K79" s="131" t="s"/>
      <c r="L79" s="131" t="s"/>
      <c r="M79" s="131" t="s"/>
      <c r="N79" s="131" t="s"/>
      <c r="O79" s="131" t="s"/>
      <c r="P79" s="131" t="s"/>
      <c r="Q79" s="131" t="s"/>
      <c r="R79" s="131" t="s"/>
      <c r="S79" s="131" t="s"/>
      <c r="T79" s="131" t="s"/>
      <c r="U79" s="131" t="s"/>
      <c r="V79" s="131" t="s"/>
      <c r="W79" s="131" t="s"/>
      <c r="X79" s="131" t="s"/>
      <c r="Y79" s="131" t="s"/>
      <c r="Z79" s="131" t="s"/>
      <c r="AA79" s="131" t="s"/>
      <c r="AB79" s="131" t="s"/>
    </row>
    <row r="80" spans="1:28">
      <c r="A80" s="130" t="s"/>
      <c r="B80" s="131" t="s"/>
      <c r="C80" s="132" t="s"/>
      <c r="D80" s="130" t="s"/>
      <c r="E80" s="130" t="s"/>
      <c r="F80" s="130" t="s"/>
      <c r="G80" s="133" t="s"/>
      <c r="H80" s="133" t="s"/>
      <c r="I80" s="134" t="s"/>
      <c r="J80" s="134" t="s"/>
      <c r="K80" s="131" t="s"/>
      <c r="L80" s="131" t="s"/>
      <c r="M80" s="131" t="s"/>
      <c r="N80" s="131" t="s"/>
      <c r="O80" s="131" t="s"/>
      <c r="P80" s="131" t="s"/>
      <c r="Q80" s="131" t="s"/>
      <c r="R80" s="131" t="s"/>
      <c r="S80" s="131" t="s"/>
      <c r="T80" s="131" t="s"/>
      <c r="U80" s="131" t="s"/>
      <c r="V80" s="131" t="s"/>
      <c r="W80" s="131" t="s"/>
      <c r="X80" s="131" t="s"/>
      <c r="Y80" s="131" t="s"/>
      <c r="Z80" s="131" t="s"/>
      <c r="AA80" s="131" t="s"/>
      <c r="AB80" s="131" t="s"/>
    </row>
    <row r="81" spans="1:28">
      <c r="A81" s="130" t="s"/>
      <c r="B81" s="131" t="s"/>
      <c r="C81" s="132" t="s"/>
      <c r="D81" s="130" t="s"/>
      <c r="E81" s="130" t="s"/>
      <c r="F81" s="130" t="s"/>
      <c r="G81" s="133" t="s"/>
      <c r="H81" s="133" t="s"/>
      <c r="I81" s="134" t="s"/>
      <c r="J81" s="134" t="s"/>
      <c r="K81" s="131" t="s"/>
      <c r="L81" s="131" t="s"/>
      <c r="M81" s="131" t="s"/>
      <c r="N81" s="131" t="s"/>
      <c r="O81" s="131" t="s"/>
      <c r="P81" s="131" t="s"/>
      <c r="Q81" s="131" t="s"/>
      <c r="R81" s="131" t="s"/>
      <c r="S81" s="131" t="s"/>
      <c r="T81" s="131" t="s"/>
      <c r="U81" s="131" t="s"/>
      <c r="V81" s="131" t="s"/>
      <c r="W81" s="131" t="s"/>
      <c r="X81" s="131" t="s"/>
      <c r="Y81" s="131" t="s"/>
      <c r="Z81" s="131" t="s"/>
      <c r="AA81" s="131" t="s"/>
      <c r="AB81" s="131" t="s"/>
    </row>
    <row r="82" spans="1:28">
      <c r="A82" s="130" t="s"/>
      <c r="B82" s="131" t="s"/>
      <c r="C82" s="132" t="s"/>
      <c r="D82" s="130" t="s"/>
      <c r="E82" s="130" t="s"/>
      <c r="F82" s="130" t="s"/>
      <c r="G82" s="133" t="s"/>
      <c r="H82" s="133" t="s"/>
      <c r="I82" s="134" t="s"/>
      <c r="J82" s="134" t="s"/>
      <c r="K82" s="131" t="s"/>
      <c r="L82" s="131" t="s"/>
      <c r="M82" s="131" t="s"/>
      <c r="N82" s="131" t="s"/>
      <c r="O82" s="131" t="s"/>
      <c r="P82" s="131" t="s"/>
      <c r="Q82" s="131" t="s"/>
      <c r="R82" s="131" t="s"/>
      <c r="S82" s="131" t="s"/>
      <c r="T82" s="131" t="s"/>
      <c r="U82" s="131" t="s"/>
      <c r="V82" s="131" t="s"/>
      <c r="W82" s="131" t="s"/>
      <c r="X82" s="131" t="s"/>
      <c r="Y82" s="131" t="s"/>
      <c r="Z82" s="131" t="s"/>
      <c r="AA82" s="131" t="s"/>
      <c r="AB82" s="131" t="s"/>
    </row>
    <row r="83" spans="1:28">
      <c r="A83" s="130" t="s"/>
      <c r="B83" s="131" t="s"/>
      <c r="C83" s="132" t="s"/>
      <c r="D83" s="130" t="s"/>
      <c r="E83" s="130" t="s"/>
      <c r="F83" s="130" t="s"/>
      <c r="G83" s="133" t="s"/>
      <c r="H83" s="133" t="s"/>
      <c r="I83" s="134" t="s"/>
      <c r="J83" s="134" t="s"/>
      <c r="K83" s="131" t="s"/>
      <c r="L83" s="131" t="s"/>
      <c r="M83" s="131" t="s"/>
      <c r="N83" s="131" t="s"/>
      <c r="O83" s="131" t="s"/>
      <c r="P83" s="131" t="s"/>
      <c r="Q83" s="131" t="s"/>
      <c r="R83" s="131" t="s"/>
      <c r="S83" s="131" t="s"/>
      <c r="T83" s="131" t="s"/>
      <c r="U83" s="131" t="s"/>
      <c r="V83" s="131" t="s"/>
      <c r="W83" s="131" t="s"/>
      <c r="X83" s="131" t="s"/>
      <c r="Y83" s="131" t="s"/>
      <c r="Z83" s="131" t="s"/>
      <c r="AA83" s="131" t="s"/>
      <c r="AB83" s="131" t="s"/>
    </row>
    <row r="84" spans="1:28">
      <c r="A84" s="130" t="s"/>
      <c r="B84" s="131" t="s"/>
      <c r="C84" s="132" t="s"/>
      <c r="D84" s="130" t="s"/>
      <c r="E84" s="130" t="s"/>
      <c r="F84" s="130" t="s"/>
      <c r="G84" s="133" t="s"/>
      <c r="H84" s="133" t="s"/>
      <c r="I84" s="134" t="s"/>
      <c r="J84" s="134" t="s"/>
      <c r="K84" s="131" t="s"/>
      <c r="L84" s="131" t="s"/>
      <c r="M84" s="131" t="s"/>
      <c r="N84" s="131" t="s"/>
      <c r="O84" s="131" t="s"/>
      <c r="P84" s="131" t="s"/>
      <c r="Q84" s="131" t="s"/>
      <c r="R84" s="131" t="s"/>
      <c r="S84" s="131" t="s"/>
      <c r="T84" s="131" t="s"/>
      <c r="U84" s="131" t="s"/>
      <c r="V84" s="131" t="s"/>
      <c r="W84" s="131" t="s"/>
      <c r="X84" s="131" t="s"/>
      <c r="Y84" s="131" t="s"/>
      <c r="Z84" s="131" t="s"/>
      <c r="AA84" s="131" t="s"/>
      <c r="AB84" s="131" t="s"/>
    </row>
    <row r="85" spans="1:28">
      <c r="A85" s="130" t="s"/>
      <c r="B85" s="131" t="s"/>
      <c r="C85" s="132" t="s"/>
      <c r="D85" s="130" t="s"/>
      <c r="E85" s="130" t="s"/>
      <c r="F85" s="130" t="s"/>
      <c r="G85" s="133" t="s"/>
      <c r="H85" s="133" t="s"/>
      <c r="I85" s="134" t="s"/>
      <c r="J85" s="134" t="s"/>
      <c r="K85" s="131" t="s"/>
      <c r="L85" s="131" t="s"/>
      <c r="M85" s="131" t="s"/>
      <c r="N85" s="131" t="s"/>
      <c r="O85" s="131" t="s"/>
      <c r="P85" s="131" t="s"/>
      <c r="Q85" s="131" t="s"/>
      <c r="R85" s="131" t="s"/>
      <c r="S85" s="131" t="s"/>
      <c r="T85" s="131" t="s"/>
      <c r="U85" s="131" t="s"/>
      <c r="V85" s="131" t="s"/>
      <c r="W85" s="131" t="s"/>
      <c r="X85" s="131" t="s"/>
      <c r="Y85" s="131" t="s"/>
      <c r="Z85" s="131" t="s"/>
      <c r="AA85" s="131" t="s"/>
      <c r="AB85" s="131" t="s"/>
    </row>
    <row r="86" spans="1:28">
      <c r="A86" s="130" t="s"/>
      <c r="B86" s="131" t="s"/>
      <c r="C86" s="132" t="s"/>
      <c r="D86" s="130" t="s"/>
      <c r="E86" s="130" t="s"/>
      <c r="F86" s="130" t="s"/>
      <c r="G86" s="133" t="s"/>
      <c r="H86" s="133" t="s"/>
      <c r="I86" s="134" t="s"/>
      <c r="J86" s="134" t="s"/>
      <c r="K86" s="131" t="s"/>
      <c r="L86" s="131" t="s"/>
      <c r="M86" s="131" t="s"/>
      <c r="N86" s="131" t="s"/>
      <c r="O86" s="131" t="s"/>
      <c r="P86" s="131" t="s"/>
      <c r="Q86" s="131" t="s"/>
      <c r="R86" s="131" t="s"/>
      <c r="S86" s="131" t="s"/>
      <c r="T86" s="131" t="s"/>
      <c r="U86" s="131" t="s"/>
      <c r="V86" s="131" t="s"/>
      <c r="W86" s="131" t="s"/>
      <c r="X86" s="131" t="s"/>
      <c r="Y86" s="131" t="s"/>
      <c r="Z86" s="131" t="s"/>
      <c r="AA86" s="131" t="s"/>
      <c r="AB86" s="131" t="s"/>
    </row>
    <row r="87" spans="1:28">
      <c r="A87" s="130" t="s"/>
      <c r="B87" s="131" t="s"/>
      <c r="C87" s="132" t="s"/>
      <c r="D87" s="130" t="s"/>
      <c r="E87" s="130" t="s"/>
      <c r="F87" s="130" t="s"/>
      <c r="G87" s="133" t="s"/>
      <c r="H87" s="133" t="s"/>
      <c r="I87" s="134" t="s"/>
      <c r="J87" s="134" t="s"/>
      <c r="K87" s="131" t="s"/>
      <c r="L87" s="131" t="s"/>
      <c r="M87" s="131" t="s"/>
      <c r="N87" s="131" t="s"/>
      <c r="O87" s="131" t="s"/>
      <c r="P87" s="131" t="s"/>
      <c r="Q87" s="131" t="s"/>
      <c r="R87" s="131" t="s"/>
      <c r="S87" s="131" t="s"/>
      <c r="T87" s="131" t="s"/>
      <c r="U87" s="131" t="s"/>
      <c r="V87" s="131" t="s"/>
      <c r="W87" s="131" t="s"/>
      <c r="X87" s="131" t="s"/>
      <c r="Y87" s="131" t="s"/>
      <c r="Z87" s="131" t="s"/>
      <c r="AA87" s="131" t="s"/>
      <c r="AB87" s="131" t="s"/>
    </row>
    <row r="88" spans="1:28">
      <c r="A88" s="130" t="s"/>
      <c r="B88" s="131" t="s"/>
      <c r="C88" s="132" t="s"/>
      <c r="D88" s="130" t="s"/>
      <c r="E88" s="130" t="s"/>
      <c r="F88" s="130" t="s"/>
      <c r="G88" s="133" t="s"/>
      <c r="H88" s="133" t="s"/>
      <c r="I88" s="134" t="s"/>
      <c r="J88" s="134" t="s"/>
      <c r="K88" s="131" t="s"/>
      <c r="L88" s="131" t="s"/>
      <c r="M88" s="131" t="s"/>
      <c r="N88" s="131" t="s"/>
      <c r="O88" s="131" t="s"/>
      <c r="P88" s="131" t="s"/>
      <c r="Q88" s="131" t="s"/>
      <c r="R88" s="131" t="s"/>
      <c r="S88" s="131" t="s"/>
      <c r="T88" s="131" t="s"/>
      <c r="U88" s="131" t="s"/>
      <c r="V88" s="131" t="s"/>
      <c r="W88" s="131" t="s"/>
      <c r="X88" s="131" t="s"/>
      <c r="Y88" s="131" t="s"/>
      <c r="Z88" s="131" t="s"/>
      <c r="AA88" s="131" t="s"/>
      <c r="AB88" s="131" t="s"/>
    </row>
    <row r="89" spans="1:28">
      <c r="A89" s="130" t="s"/>
      <c r="B89" s="131" t="s"/>
      <c r="C89" s="132" t="s"/>
      <c r="D89" s="130" t="s"/>
      <c r="E89" s="130" t="s"/>
      <c r="F89" s="130" t="s"/>
      <c r="G89" s="133" t="s"/>
      <c r="H89" s="133" t="s"/>
      <c r="I89" s="134" t="s"/>
      <c r="J89" s="134" t="s"/>
      <c r="K89" s="131" t="s"/>
      <c r="L89" s="131" t="s"/>
      <c r="M89" s="131" t="s"/>
      <c r="N89" s="131" t="s"/>
      <c r="O89" s="131" t="s"/>
      <c r="P89" s="131" t="s"/>
      <c r="Q89" s="131" t="s"/>
      <c r="R89" s="131" t="s"/>
      <c r="S89" s="131" t="s"/>
      <c r="T89" s="131" t="s"/>
      <c r="U89" s="131" t="s"/>
      <c r="V89" s="131" t="s"/>
      <c r="W89" s="131" t="s"/>
      <c r="X89" s="131" t="s"/>
      <c r="Y89" s="131" t="s"/>
      <c r="Z89" s="131" t="s"/>
      <c r="AA89" s="131" t="s"/>
      <c r="AB89" s="131" t="s"/>
    </row>
    <row r="90" spans="1:28">
      <c r="A90" s="130" t="s"/>
      <c r="B90" s="131" t="s"/>
      <c r="C90" s="132" t="s"/>
      <c r="D90" s="130" t="s"/>
      <c r="E90" s="130" t="s"/>
      <c r="F90" s="130" t="s"/>
      <c r="G90" s="133" t="s"/>
      <c r="H90" s="133" t="s"/>
      <c r="I90" s="134" t="s"/>
      <c r="J90" s="134" t="s"/>
      <c r="K90" s="131" t="s"/>
      <c r="L90" s="131" t="s"/>
      <c r="M90" s="131" t="s"/>
      <c r="N90" s="131" t="s"/>
      <c r="O90" s="131" t="s"/>
      <c r="P90" s="131" t="s"/>
      <c r="Q90" s="131" t="s"/>
      <c r="R90" s="131" t="s"/>
      <c r="S90" s="131" t="s"/>
      <c r="T90" s="131" t="s"/>
      <c r="U90" s="131" t="s"/>
      <c r="V90" s="131" t="s"/>
      <c r="W90" s="131" t="s"/>
      <c r="X90" s="131" t="s"/>
      <c r="Y90" s="131" t="s"/>
      <c r="Z90" s="131" t="s"/>
      <c r="AA90" s="131" t="s"/>
      <c r="AB90" s="131" t="s"/>
    </row>
    <row r="91" spans="1:28">
      <c r="A91" s="130" t="s"/>
      <c r="B91" s="131" t="s"/>
      <c r="C91" s="132" t="s"/>
      <c r="D91" s="130" t="s"/>
      <c r="E91" s="130" t="s"/>
      <c r="F91" s="130" t="s"/>
      <c r="G91" s="133" t="s"/>
      <c r="H91" s="133" t="s"/>
      <c r="I91" s="134" t="s"/>
      <c r="J91" s="134" t="s"/>
      <c r="K91" s="131" t="s"/>
      <c r="L91" s="131" t="s"/>
      <c r="M91" s="131" t="s"/>
      <c r="N91" s="131" t="s"/>
      <c r="O91" s="131" t="s"/>
      <c r="P91" s="131" t="s"/>
      <c r="Q91" s="131" t="s"/>
      <c r="R91" s="131" t="s"/>
      <c r="S91" s="131" t="s"/>
      <c r="T91" s="131" t="s"/>
      <c r="U91" s="131" t="s"/>
      <c r="V91" s="131" t="s"/>
      <c r="W91" s="131" t="s"/>
      <c r="X91" s="131" t="s"/>
      <c r="Y91" s="131" t="s"/>
      <c r="Z91" s="131" t="s"/>
      <c r="AA91" s="131" t="s"/>
      <c r="AB91" s="131" t="s"/>
    </row>
    <row r="92" spans="1:28">
      <c r="A92" s="130" t="s"/>
      <c r="B92" s="131" t="s"/>
      <c r="C92" s="132" t="s"/>
      <c r="D92" s="130" t="s"/>
      <c r="E92" s="130" t="s"/>
      <c r="F92" s="130" t="s"/>
      <c r="G92" s="133" t="s"/>
      <c r="H92" s="133" t="s"/>
      <c r="I92" s="134" t="s"/>
      <c r="J92" s="134" t="s"/>
      <c r="K92" s="131" t="s"/>
      <c r="L92" s="131" t="s"/>
      <c r="M92" s="131" t="s"/>
      <c r="N92" s="131" t="s"/>
      <c r="O92" s="131" t="s"/>
      <c r="P92" s="131" t="s"/>
      <c r="Q92" s="131" t="s"/>
      <c r="R92" s="131" t="s"/>
      <c r="S92" s="131" t="s"/>
      <c r="T92" s="131" t="s"/>
      <c r="U92" s="131" t="s"/>
      <c r="V92" s="131" t="s"/>
      <c r="W92" s="131" t="s"/>
      <c r="X92" s="131" t="s"/>
      <c r="Y92" s="131" t="s"/>
      <c r="Z92" s="131" t="s"/>
      <c r="AA92" s="131" t="s"/>
      <c r="AB92" s="131" t="s"/>
    </row>
    <row r="93" spans="1:28">
      <c r="A93" s="130" t="s"/>
      <c r="B93" s="131" t="s"/>
      <c r="C93" s="132" t="s"/>
      <c r="D93" s="130" t="s"/>
      <c r="E93" s="130" t="s"/>
      <c r="F93" s="130" t="s"/>
      <c r="G93" s="133" t="s"/>
      <c r="H93" s="133" t="s"/>
      <c r="I93" s="134" t="s"/>
      <c r="J93" s="134" t="s"/>
      <c r="K93" s="131" t="s"/>
      <c r="L93" s="131" t="s"/>
      <c r="M93" s="131" t="s"/>
      <c r="N93" s="131" t="s"/>
      <c r="O93" s="131" t="s"/>
      <c r="P93" s="131" t="s"/>
      <c r="Q93" s="131" t="s"/>
      <c r="R93" s="131" t="s"/>
      <c r="S93" s="131" t="s"/>
      <c r="T93" s="131" t="s"/>
      <c r="U93" s="131" t="s"/>
      <c r="V93" s="131" t="s"/>
      <c r="W93" s="131" t="s"/>
      <c r="X93" s="131" t="s"/>
      <c r="Y93" s="131" t="s"/>
      <c r="Z93" s="131" t="s"/>
      <c r="AA93" s="131" t="s"/>
      <c r="AB93" s="131" t="s"/>
    </row>
    <row r="94" spans="1:28">
      <c r="A94" s="130" t="s"/>
      <c r="B94" s="131" t="s"/>
      <c r="C94" s="132" t="s"/>
      <c r="D94" s="130" t="s"/>
      <c r="E94" s="130" t="s"/>
      <c r="F94" s="130" t="s"/>
      <c r="G94" s="133" t="s"/>
      <c r="H94" s="133" t="s"/>
      <c r="I94" s="134" t="s"/>
      <c r="J94" s="134" t="s"/>
      <c r="K94" s="131" t="s"/>
      <c r="L94" s="131" t="s"/>
      <c r="M94" s="131" t="s"/>
      <c r="N94" s="131" t="s"/>
      <c r="O94" s="131" t="s"/>
      <c r="P94" s="131" t="s"/>
      <c r="Q94" s="131" t="s"/>
      <c r="R94" s="131" t="s"/>
      <c r="S94" s="131" t="s"/>
      <c r="T94" s="131" t="s"/>
      <c r="U94" s="131" t="s"/>
      <c r="V94" s="131" t="s"/>
      <c r="W94" s="131" t="s"/>
      <c r="X94" s="131" t="s"/>
      <c r="Y94" s="131" t="s"/>
      <c r="Z94" s="131" t="s"/>
      <c r="AA94" s="131" t="s"/>
      <c r="AB94" s="131" t="s"/>
    </row>
    <row r="95" spans="1:28">
      <c r="A95" s="130" t="s"/>
      <c r="B95" s="131" t="s"/>
      <c r="C95" s="132" t="s"/>
      <c r="D95" s="130" t="s"/>
      <c r="E95" s="130" t="s"/>
      <c r="F95" s="130" t="s"/>
      <c r="G95" s="133" t="s"/>
      <c r="H95" s="133" t="s"/>
      <c r="I95" s="134" t="s"/>
      <c r="J95" s="134" t="s"/>
      <c r="K95" s="131" t="s"/>
      <c r="L95" s="131" t="s"/>
      <c r="M95" s="131" t="s"/>
      <c r="N95" s="131" t="s"/>
      <c r="O95" s="131" t="s"/>
      <c r="P95" s="131" t="s"/>
      <c r="Q95" s="131" t="s"/>
      <c r="R95" s="131" t="s"/>
      <c r="S95" s="131" t="s"/>
      <c r="T95" s="131" t="s"/>
      <c r="U95" s="131" t="s"/>
      <c r="V95" s="131" t="s"/>
      <c r="W95" s="131" t="s"/>
      <c r="X95" s="131" t="s"/>
      <c r="Y95" s="131" t="s"/>
      <c r="Z95" s="131" t="s"/>
      <c r="AA95" s="131" t="s"/>
      <c r="AB95" s="131" t="s"/>
    </row>
    <row r="96" spans="1:28">
      <c r="A96" s="130" t="s"/>
      <c r="B96" s="131" t="s"/>
      <c r="C96" s="132" t="s"/>
      <c r="D96" s="130" t="s"/>
      <c r="E96" s="130" t="s"/>
      <c r="F96" s="130" t="s"/>
      <c r="G96" s="133" t="s"/>
      <c r="H96" s="133" t="s"/>
      <c r="I96" s="134" t="s"/>
      <c r="J96" s="134" t="s"/>
      <c r="K96" s="131" t="s"/>
      <c r="L96" s="131" t="s"/>
      <c r="M96" s="131" t="s"/>
      <c r="N96" s="131" t="s"/>
      <c r="O96" s="131" t="s"/>
      <c r="P96" s="131" t="s"/>
      <c r="Q96" s="131" t="s"/>
      <c r="R96" s="131" t="s"/>
      <c r="S96" s="131" t="s"/>
      <c r="T96" s="131" t="s"/>
      <c r="U96" s="131" t="s"/>
      <c r="V96" s="131" t="s"/>
      <c r="W96" s="131" t="s"/>
      <c r="X96" s="131" t="s"/>
      <c r="Y96" s="131" t="s"/>
      <c r="Z96" s="131" t="s"/>
      <c r="AA96" s="131" t="s"/>
      <c r="AB96" s="131" t="s"/>
    </row>
    <row r="97" spans="1:28">
      <c r="A97" s="130" t="s"/>
      <c r="B97" s="131" t="s"/>
      <c r="C97" s="132" t="s"/>
      <c r="D97" s="130" t="s"/>
      <c r="E97" s="130" t="s"/>
      <c r="F97" s="130" t="s"/>
      <c r="G97" s="133" t="s"/>
      <c r="H97" s="133" t="s"/>
      <c r="I97" s="134" t="s"/>
      <c r="J97" s="134" t="s"/>
      <c r="K97" s="131" t="s"/>
      <c r="L97" s="131" t="s"/>
      <c r="M97" s="131" t="s"/>
      <c r="N97" s="131" t="s"/>
      <c r="O97" s="131" t="s"/>
      <c r="P97" s="131" t="s"/>
      <c r="Q97" s="131" t="s"/>
      <c r="R97" s="131" t="s"/>
      <c r="S97" s="131" t="s"/>
      <c r="T97" s="131" t="s"/>
      <c r="U97" s="131" t="s"/>
      <c r="V97" s="131" t="s"/>
      <c r="W97" s="131" t="s"/>
      <c r="X97" s="131" t="s"/>
      <c r="Y97" s="131" t="s"/>
      <c r="Z97" s="131" t="s"/>
      <c r="AA97" s="131" t="s"/>
      <c r="AB97" s="131" t="s"/>
    </row>
    <row r="98" spans="1:28">
      <c r="A98" s="130" t="s"/>
      <c r="B98" s="131" t="s"/>
      <c r="C98" s="132" t="s"/>
      <c r="D98" s="130" t="s"/>
      <c r="E98" s="130" t="s"/>
      <c r="F98" s="130" t="s"/>
      <c r="G98" s="133" t="s"/>
      <c r="H98" s="133" t="s"/>
      <c r="I98" s="134" t="s"/>
      <c r="J98" s="134" t="s"/>
      <c r="K98" s="131" t="s"/>
      <c r="L98" s="131" t="s"/>
      <c r="M98" s="131" t="s"/>
      <c r="N98" s="131" t="s"/>
      <c r="O98" s="131" t="s"/>
      <c r="P98" s="131" t="s"/>
      <c r="Q98" s="131" t="s"/>
      <c r="R98" s="131" t="s"/>
      <c r="S98" s="131" t="s"/>
      <c r="T98" s="131" t="s"/>
      <c r="U98" s="131" t="s"/>
      <c r="V98" s="131" t="s"/>
      <c r="W98" s="131" t="s"/>
      <c r="X98" s="131" t="s"/>
      <c r="Y98" s="131" t="s"/>
      <c r="Z98" s="131" t="s"/>
      <c r="AA98" s="131" t="s"/>
      <c r="AB98" s="131" t="s"/>
    </row>
    <row r="99" spans="1:28">
      <c r="A99" s="130" t="s"/>
      <c r="B99" s="131" t="s"/>
      <c r="C99" s="132" t="s"/>
      <c r="D99" s="130" t="s"/>
      <c r="E99" s="130" t="s"/>
      <c r="F99" s="130" t="s"/>
      <c r="G99" s="133" t="s"/>
      <c r="H99" s="133" t="s"/>
      <c r="I99" s="134" t="s"/>
      <c r="J99" s="134" t="s"/>
      <c r="K99" s="131" t="s"/>
      <c r="L99" s="131" t="s"/>
      <c r="M99" s="131" t="s"/>
      <c r="N99" s="131" t="s"/>
      <c r="O99" s="131" t="s"/>
      <c r="P99" s="131" t="s"/>
      <c r="Q99" s="131" t="s"/>
      <c r="R99" s="131" t="s"/>
      <c r="S99" s="131" t="s"/>
      <c r="T99" s="131" t="s"/>
      <c r="U99" s="131" t="s"/>
      <c r="V99" s="131" t="s"/>
      <c r="W99" s="131" t="s"/>
      <c r="X99" s="131" t="s"/>
      <c r="Y99" s="131" t="s"/>
      <c r="Z99" s="131" t="s"/>
      <c r="AA99" s="131" t="s"/>
      <c r="AB99" s="131" t="s"/>
    </row>
    <row r="100" spans="1:28">
      <c r="A100" s="130" t="s"/>
      <c r="B100" s="131" t="s"/>
      <c r="C100" s="132" t="s"/>
      <c r="D100" s="130" t="s"/>
      <c r="E100" s="130" t="s"/>
      <c r="F100" s="130" t="s"/>
      <c r="G100" s="133" t="s"/>
      <c r="H100" s="133" t="s"/>
      <c r="I100" s="134" t="s"/>
      <c r="J100" s="134" t="s"/>
      <c r="K100" s="131" t="s"/>
      <c r="L100" s="131" t="s"/>
      <c r="M100" s="131" t="s"/>
      <c r="N100" s="131" t="s"/>
      <c r="O100" s="131" t="s"/>
      <c r="P100" s="131" t="s"/>
      <c r="Q100" s="131" t="s"/>
      <c r="R100" s="131" t="s"/>
      <c r="S100" s="131" t="s"/>
      <c r="T100" s="131" t="s"/>
      <c r="U100" s="131" t="s"/>
      <c r="V100" s="131" t="s"/>
      <c r="W100" s="131" t="s"/>
      <c r="X100" s="131" t="s"/>
      <c r="Y100" s="131" t="s"/>
      <c r="Z100" s="131" t="s"/>
      <c r="AA100" s="131" t="s"/>
      <c r="AB100" s="131" t="s"/>
    </row>
    <row r="101" spans="1:28">
      <c r="A101" s="130" t="s"/>
      <c r="B101" s="131" t="s"/>
      <c r="C101" s="132" t="s"/>
      <c r="D101" s="130" t="s"/>
      <c r="E101" s="130" t="s"/>
      <c r="F101" s="130" t="s"/>
      <c r="G101" s="133" t="s"/>
      <c r="H101" s="133" t="s"/>
      <c r="I101" s="134" t="s"/>
      <c r="J101" s="134" t="s"/>
      <c r="K101" s="131" t="s"/>
      <c r="L101" s="131" t="s"/>
      <c r="M101" s="131" t="s"/>
      <c r="N101" s="131" t="s"/>
      <c r="O101" s="131" t="s"/>
      <c r="P101" s="131" t="s"/>
      <c r="Q101" s="131" t="s"/>
      <c r="R101" s="131" t="s"/>
      <c r="S101" s="131" t="s"/>
      <c r="T101" s="131" t="s"/>
      <c r="U101" s="131" t="s"/>
      <c r="V101" s="131" t="s"/>
      <c r="W101" s="131" t="s"/>
      <c r="X101" s="131" t="s"/>
      <c r="Y101" s="131" t="s"/>
      <c r="Z101" s="131" t="s"/>
      <c r="AA101" s="131" t="s"/>
      <c r="AB101" s="131" t="s"/>
    </row>
    <row r="102" spans="1:28">
      <c r="A102" s="130" t="s"/>
      <c r="B102" s="131" t="s"/>
      <c r="C102" s="132" t="s"/>
      <c r="D102" s="130" t="s"/>
      <c r="E102" s="130" t="s"/>
      <c r="F102" s="130" t="s"/>
      <c r="G102" s="133" t="s"/>
      <c r="H102" s="133" t="s"/>
      <c r="I102" s="134" t="s"/>
      <c r="J102" s="134" t="s"/>
      <c r="K102" s="131" t="s"/>
      <c r="L102" s="131" t="s"/>
      <c r="M102" s="131" t="s"/>
      <c r="N102" s="131" t="s"/>
      <c r="O102" s="131" t="s"/>
      <c r="P102" s="131" t="s"/>
      <c r="Q102" s="131" t="s"/>
      <c r="R102" s="131" t="s"/>
      <c r="S102" s="131" t="s"/>
      <c r="T102" s="131" t="s"/>
      <c r="U102" s="131" t="s"/>
      <c r="V102" s="131" t="s"/>
      <c r="W102" s="131" t="s"/>
      <c r="X102" s="131" t="s"/>
      <c r="Y102" s="131" t="s"/>
      <c r="Z102" s="131" t="s"/>
      <c r="AA102" s="131" t="s"/>
      <c r="AB102" s="131" t="s"/>
    </row>
    <row r="103" spans="1:28">
      <c r="A103" s="130" t="s"/>
      <c r="B103" s="131" t="s"/>
      <c r="C103" s="132" t="s"/>
      <c r="D103" s="130" t="s"/>
      <c r="E103" s="130" t="s"/>
      <c r="F103" s="130" t="s"/>
      <c r="G103" s="133" t="s"/>
      <c r="H103" s="133" t="s"/>
      <c r="I103" s="134" t="s"/>
      <c r="J103" s="134" t="s"/>
      <c r="K103" s="131" t="s"/>
      <c r="L103" s="131" t="s"/>
      <c r="M103" s="131" t="s"/>
      <c r="N103" s="131" t="s"/>
      <c r="O103" s="131" t="s"/>
      <c r="P103" s="131" t="s"/>
      <c r="Q103" s="131" t="s"/>
      <c r="R103" s="131" t="s"/>
      <c r="S103" s="131" t="s"/>
      <c r="T103" s="131" t="s"/>
      <c r="U103" s="131" t="s"/>
      <c r="V103" s="131" t="s"/>
      <c r="W103" s="131" t="s"/>
      <c r="X103" s="131" t="s"/>
      <c r="Y103" s="131" t="s"/>
      <c r="Z103" s="131" t="s"/>
      <c r="AA103" s="131" t="s"/>
      <c r="AB103" s="131" t="s"/>
    </row>
    <row r="104" spans="1:28">
      <c r="A104" s="130" t="s"/>
      <c r="B104" s="131" t="s"/>
      <c r="C104" s="132" t="s"/>
      <c r="D104" s="130" t="s"/>
      <c r="E104" s="130" t="s"/>
      <c r="F104" s="130" t="s"/>
      <c r="G104" s="133" t="s"/>
      <c r="H104" s="133" t="s"/>
      <c r="I104" s="134" t="s"/>
      <c r="J104" s="134" t="s"/>
      <c r="K104" s="131" t="s"/>
      <c r="L104" s="131" t="s"/>
      <c r="M104" s="131" t="s"/>
      <c r="N104" s="131" t="s"/>
      <c r="O104" s="131" t="s"/>
      <c r="P104" s="131" t="s"/>
      <c r="Q104" s="131" t="s"/>
      <c r="R104" s="131" t="s"/>
      <c r="S104" s="131" t="s"/>
      <c r="T104" s="131" t="s"/>
      <c r="U104" s="131" t="s"/>
      <c r="V104" s="131" t="s"/>
      <c r="W104" s="131" t="s"/>
      <c r="X104" s="131" t="s"/>
      <c r="Y104" s="131" t="s"/>
      <c r="Z104" s="131" t="s"/>
      <c r="AA104" s="131" t="s"/>
      <c r="AB104" s="131" t="s"/>
    </row>
    <row r="105" spans="1:28">
      <c r="A105" s="130" t="s"/>
      <c r="B105" s="131" t="s"/>
      <c r="C105" s="132" t="s"/>
      <c r="D105" s="130" t="s"/>
      <c r="E105" s="130" t="s"/>
      <c r="F105" s="130" t="s"/>
      <c r="G105" s="133" t="s"/>
      <c r="H105" s="133" t="s"/>
      <c r="I105" s="134" t="s"/>
      <c r="J105" s="134" t="s"/>
      <c r="K105" s="131" t="s"/>
      <c r="L105" s="131" t="s"/>
      <c r="M105" s="131" t="s"/>
      <c r="N105" s="131" t="s"/>
      <c r="O105" s="131" t="s"/>
      <c r="P105" s="131" t="s"/>
      <c r="Q105" s="131" t="s"/>
      <c r="R105" s="131" t="s"/>
      <c r="S105" s="131" t="s"/>
      <c r="T105" s="131" t="s"/>
      <c r="U105" s="131" t="s"/>
      <c r="V105" s="131" t="s"/>
      <c r="W105" s="131" t="s"/>
      <c r="X105" s="131" t="s"/>
      <c r="Y105" s="131" t="s"/>
      <c r="Z105" s="131" t="s"/>
      <c r="AA105" s="131" t="s"/>
      <c r="AB105" s="131" t="s"/>
    </row>
    <row r="106" spans="1:28">
      <c r="A106" s="130" t="s"/>
      <c r="B106" s="131" t="s"/>
      <c r="C106" s="132" t="s"/>
      <c r="D106" s="130" t="s"/>
      <c r="E106" s="130" t="s"/>
      <c r="F106" s="130" t="s"/>
      <c r="G106" s="133" t="s"/>
      <c r="H106" s="133" t="s"/>
      <c r="I106" s="134" t="s"/>
      <c r="J106" s="134" t="s"/>
      <c r="K106" s="131" t="s"/>
      <c r="L106" s="131" t="s"/>
      <c r="M106" s="131" t="s"/>
      <c r="N106" s="131" t="s"/>
      <c r="O106" s="131" t="s"/>
      <c r="P106" s="131" t="s"/>
      <c r="Q106" s="131" t="s"/>
      <c r="R106" s="131" t="s"/>
      <c r="S106" s="131" t="s"/>
      <c r="T106" s="131" t="s"/>
      <c r="U106" s="131" t="s"/>
      <c r="V106" s="131" t="s"/>
      <c r="W106" s="131" t="s"/>
      <c r="X106" s="131" t="s"/>
      <c r="Y106" s="131" t="s"/>
      <c r="Z106" s="131" t="s"/>
      <c r="AA106" s="131" t="s"/>
      <c r="AB106" s="131" t="s"/>
    </row>
    <row r="107" spans="1:28">
      <c r="A107" s="130" t="s"/>
      <c r="B107" s="131" t="s"/>
      <c r="C107" s="132" t="s"/>
      <c r="D107" s="130" t="s"/>
      <c r="E107" s="130" t="s"/>
      <c r="F107" s="130" t="s"/>
      <c r="G107" s="133" t="s"/>
      <c r="H107" s="133" t="s"/>
      <c r="I107" s="134" t="s"/>
      <c r="J107" s="134" t="s"/>
      <c r="K107" s="131" t="s"/>
      <c r="L107" s="131" t="s"/>
      <c r="M107" s="131" t="s"/>
      <c r="N107" s="131" t="s"/>
      <c r="O107" s="131" t="s"/>
      <c r="P107" s="131" t="s"/>
      <c r="Q107" s="131" t="s"/>
      <c r="R107" s="131" t="s"/>
      <c r="S107" s="131" t="s"/>
      <c r="T107" s="131" t="s"/>
      <c r="U107" s="131" t="s"/>
      <c r="V107" s="131" t="s"/>
      <c r="W107" s="131" t="s"/>
      <c r="X107" s="131" t="s"/>
      <c r="Y107" s="131" t="s"/>
      <c r="Z107" s="131" t="s"/>
      <c r="AA107" s="131" t="s"/>
      <c r="AB107" s="131" t="s"/>
    </row>
    <row r="108" spans="1:28">
      <c r="A108" s="130" t="s"/>
      <c r="B108" s="131" t="s"/>
      <c r="C108" s="132" t="s"/>
      <c r="D108" s="130" t="s"/>
      <c r="E108" s="130" t="s"/>
      <c r="F108" s="130" t="s"/>
      <c r="G108" s="133" t="s"/>
      <c r="H108" s="133" t="s"/>
      <c r="I108" s="134" t="s"/>
      <c r="J108" s="134" t="s"/>
      <c r="K108" s="131" t="s"/>
      <c r="L108" s="131" t="s"/>
      <c r="M108" s="131" t="s"/>
      <c r="N108" s="131" t="s"/>
      <c r="O108" s="131" t="s"/>
      <c r="P108" s="131" t="s"/>
      <c r="Q108" s="131" t="s"/>
      <c r="R108" s="131" t="s"/>
      <c r="S108" s="131" t="s"/>
      <c r="T108" s="131" t="s"/>
      <c r="U108" s="131" t="s"/>
      <c r="V108" s="131" t="s"/>
      <c r="W108" s="131" t="s"/>
      <c r="X108" s="131" t="s"/>
      <c r="Y108" s="131" t="s"/>
      <c r="Z108" s="131" t="s"/>
      <c r="AA108" s="131" t="s"/>
      <c r="AB108" s="131" t="s"/>
    </row>
    <row r="109" spans="1:28">
      <c r="A109" s="130" t="s"/>
      <c r="B109" s="131" t="s"/>
      <c r="C109" s="132" t="s"/>
      <c r="D109" s="130" t="s"/>
      <c r="E109" s="130" t="s"/>
      <c r="F109" s="130" t="s"/>
      <c r="G109" s="133" t="s"/>
      <c r="H109" s="133" t="s"/>
      <c r="I109" s="134" t="s"/>
      <c r="J109" s="134" t="s"/>
      <c r="K109" s="131" t="s"/>
      <c r="L109" s="131" t="s"/>
      <c r="M109" s="131" t="s"/>
      <c r="N109" s="131" t="s"/>
      <c r="O109" s="131" t="s"/>
      <c r="P109" s="131" t="s"/>
      <c r="Q109" s="131" t="s"/>
      <c r="R109" s="131" t="s"/>
      <c r="S109" s="131" t="s"/>
      <c r="T109" s="131" t="s"/>
      <c r="U109" s="131" t="s"/>
      <c r="V109" s="131" t="s"/>
      <c r="W109" s="131" t="s"/>
      <c r="X109" s="131" t="s"/>
      <c r="Y109" s="131" t="s"/>
      <c r="Z109" s="131" t="s"/>
      <c r="AA109" s="131" t="s"/>
      <c r="AB109" s="131" t="s"/>
    </row>
    <row r="110" spans="1:28">
      <c r="A110" s="130" t="s"/>
      <c r="B110" s="131" t="s"/>
      <c r="C110" s="132" t="s"/>
      <c r="D110" s="130" t="s"/>
      <c r="E110" s="130" t="s"/>
      <c r="F110" s="130" t="s"/>
      <c r="G110" s="133" t="s"/>
      <c r="H110" s="133" t="s"/>
      <c r="I110" s="134" t="s"/>
      <c r="J110" s="134" t="s"/>
      <c r="K110" s="131" t="s"/>
      <c r="L110" s="131" t="s"/>
      <c r="M110" s="131" t="s"/>
      <c r="N110" s="131" t="s"/>
      <c r="O110" s="131" t="s"/>
      <c r="P110" s="131" t="s"/>
      <c r="Q110" s="131" t="s"/>
      <c r="R110" s="131" t="s"/>
      <c r="S110" s="131" t="s"/>
      <c r="T110" s="131" t="s"/>
      <c r="U110" s="131" t="s"/>
      <c r="V110" s="131" t="s"/>
      <c r="W110" s="131" t="s"/>
      <c r="X110" s="131" t="s"/>
      <c r="Y110" s="131" t="s"/>
      <c r="Z110" s="131" t="s"/>
      <c r="AA110" s="131" t="s"/>
      <c r="AB110" s="131" t="s"/>
    </row>
    <row r="111" spans="1:28">
      <c r="A111" s="130" t="s"/>
      <c r="B111" s="131" t="s"/>
      <c r="C111" s="132" t="s"/>
      <c r="D111" s="130" t="s"/>
      <c r="E111" s="130" t="s"/>
      <c r="F111" s="130" t="s"/>
      <c r="G111" s="133" t="s"/>
      <c r="H111" s="133" t="s"/>
      <c r="I111" s="134" t="s"/>
      <c r="J111" s="134" t="s"/>
      <c r="K111" s="131" t="s"/>
      <c r="L111" s="131" t="s"/>
      <c r="M111" s="131" t="s"/>
      <c r="N111" s="131" t="s"/>
      <c r="O111" s="131" t="s"/>
      <c r="P111" s="131" t="s"/>
      <c r="Q111" s="131" t="s"/>
      <c r="R111" s="131" t="s"/>
      <c r="S111" s="131" t="s"/>
      <c r="T111" s="131" t="s"/>
      <c r="U111" s="131" t="s"/>
      <c r="V111" s="131" t="s"/>
      <c r="W111" s="131" t="s"/>
      <c r="X111" s="131" t="s"/>
      <c r="Y111" s="131" t="s"/>
      <c r="Z111" s="131" t="s"/>
      <c r="AA111" s="131" t="s"/>
      <c r="AB111" s="131" t="s"/>
    </row>
    <row r="112" spans="1:28">
      <c r="A112" s="130" t="s"/>
      <c r="B112" s="131" t="s"/>
      <c r="C112" s="132" t="s"/>
      <c r="D112" s="130" t="s"/>
      <c r="E112" s="130" t="s"/>
      <c r="F112" s="130" t="s"/>
      <c r="G112" s="133" t="s"/>
      <c r="H112" s="133" t="s"/>
      <c r="I112" s="134" t="s"/>
      <c r="J112" s="134" t="s"/>
      <c r="K112" s="131" t="s"/>
      <c r="L112" s="131" t="s"/>
      <c r="M112" s="131" t="s"/>
      <c r="N112" s="131" t="s"/>
      <c r="O112" s="131" t="s"/>
      <c r="P112" s="131" t="s"/>
      <c r="Q112" s="131" t="s"/>
      <c r="R112" s="131" t="s"/>
      <c r="S112" s="131" t="s"/>
      <c r="T112" s="131" t="s"/>
      <c r="U112" s="131" t="s"/>
      <c r="V112" s="131" t="s"/>
      <c r="W112" s="131" t="s"/>
      <c r="X112" s="131" t="s"/>
      <c r="Y112" s="131" t="s"/>
      <c r="Z112" s="131" t="s"/>
      <c r="AA112" s="131" t="s"/>
      <c r="AB112" s="131" t="s"/>
    </row>
    <row r="113" spans="1:28">
      <c r="A113" s="130" t="s"/>
      <c r="B113" s="131" t="s"/>
      <c r="C113" s="132" t="s"/>
      <c r="D113" s="130" t="s"/>
      <c r="E113" s="130" t="s"/>
      <c r="F113" s="130" t="s"/>
      <c r="G113" s="133" t="s"/>
      <c r="H113" s="133" t="s"/>
      <c r="I113" s="134" t="s"/>
      <c r="J113" s="134" t="s"/>
      <c r="K113" s="131" t="s"/>
      <c r="L113" s="131" t="s"/>
      <c r="M113" s="131" t="s"/>
      <c r="N113" s="131" t="s"/>
      <c r="O113" s="131" t="s"/>
      <c r="P113" s="131" t="s"/>
      <c r="Q113" s="131" t="s"/>
      <c r="R113" s="131" t="s"/>
      <c r="S113" s="131" t="s"/>
      <c r="T113" s="131" t="s"/>
      <c r="U113" s="131" t="s"/>
      <c r="V113" s="131" t="s"/>
      <c r="W113" s="131" t="s"/>
      <c r="X113" s="131" t="s"/>
      <c r="Y113" s="131" t="s"/>
      <c r="Z113" s="131" t="s"/>
      <c r="AA113" s="131" t="s"/>
      <c r="AB113" s="131" t="s"/>
    </row>
    <row r="114" spans="1:28">
      <c r="A114" s="130" t="s"/>
      <c r="B114" s="131" t="s"/>
      <c r="C114" s="132" t="s"/>
      <c r="D114" s="130" t="s"/>
      <c r="E114" s="130" t="s"/>
      <c r="F114" s="130" t="s"/>
      <c r="G114" s="133" t="s"/>
      <c r="H114" s="133" t="s"/>
      <c r="I114" s="134" t="s"/>
      <c r="J114" s="134" t="s"/>
      <c r="K114" s="131" t="s"/>
      <c r="L114" s="131" t="s"/>
      <c r="M114" s="131" t="s"/>
      <c r="N114" s="131" t="s"/>
      <c r="O114" s="131" t="s"/>
      <c r="P114" s="131" t="s"/>
      <c r="Q114" s="131" t="s"/>
      <c r="R114" s="131" t="s"/>
      <c r="S114" s="131" t="s"/>
      <c r="T114" s="131" t="s"/>
      <c r="U114" s="131" t="s"/>
      <c r="V114" s="131" t="s"/>
      <c r="W114" s="131" t="s"/>
      <c r="X114" s="131" t="s"/>
      <c r="Y114" s="131" t="s"/>
      <c r="Z114" s="131" t="s"/>
      <c r="AA114" s="131" t="s"/>
      <c r="AB114" s="131" t="s"/>
    </row>
    <row r="115" spans="1:28">
      <c r="A115" s="130" t="s"/>
      <c r="B115" s="131" t="s"/>
      <c r="C115" s="132" t="s"/>
      <c r="D115" s="130" t="s"/>
      <c r="E115" s="130" t="s"/>
      <c r="F115" s="130" t="s"/>
      <c r="G115" s="133" t="s"/>
      <c r="H115" s="133" t="s"/>
      <c r="I115" s="134" t="s"/>
      <c r="J115" s="134" t="s"/>
      <c r="K115" s="131" t="s"/>
      <c r="L115" s="131" t="s"/>
      <c r="M115" s="131" t="s"/>
      <c r="N115" s="131" t="s"/>
      <c r="O115" s="131" t="s"/>
      <c r="P115" s="131" t="s"/>
      <c r="Q115" s="131" t="s"/>
      <c r="R115" s="131" t="s"/>
      <c r="S115" s="131" t="s"/>
      <c r="T115" s="131" t="s"/>
      <c r="U115" s="131" t="s"/>
      <c r="V115" s="131" t="s"/>
      <c r="W115" s="131" t="s"/>
      <c r="X115" s="131" t="s"/>
      <c r="Y115" s="131" t="s"/>
      <c r="Z115" s="131" t="s"/>
      <c r="AA115" s="131" t="s"/>
      <c r="AB115" s="131" t="s"/>
    </row>
    <row r="116" spans="1:28">
      <c r="A116" s="130" t="s"/>
      <c r="B116" s="131" t="s"/>
      <c r="C116" s="132" t="s"/>
      <c r="D116" s="130" t="s"/>
      <c r="E116" s="130" t="s"/>
      <c r="F116" s="130" t="s"/>
      <c r="G116" s="133" t="s"/>
      <c r="H116" s="133" t="s"/>
      <c r="I116" s="134" t="s"/>
      <c r="J116" s="134" t="s"/>
      <c r="K116" s="131" t="s"/>
      <c r="L116" s="131" t="s"/>
      <c r="M116" s="131" t="s"/>
      <c r="N116" s="131" t="s"/>
      <c r="O116" s="131" t="s"/>
      <c r="P116" s="131" t="s"/>
      <c r="Q116" s="131" t="s"/>
      <c r="R116" s="131" t="s"/>
      <c r="S116" s="131" t="s"/>
      <c r="T116" s="131" t="s"/>
      <c r="U116" s="131" t="s"/>
      <c r="V116" s="131" t="s"/>
      <c r="W116" s="131" t="s"/>
      <c r="X116" s="131" t="s"/>
      <c r="Y116" s="131" t="s"/>
      <c r="Z116" s="131" t="s"/>
      <c r="AA116" s="131" t="s"/>
      <c r="AB116" s="131" t="s"/>
    </row>
    <row r="117" spans="1:28">
      <c r="A117" s="130" t="s"/>
      <c r="B117" s="131" t="s"/>
      <c r="C117" s="132" t="s"/>
      <c r="D117" s="130" t="s"/>
      <c r="E117" s="130" t="s"/>
      <c r="F117" s="130" t="s"/>
      <c r="G117" s="133" t="s"/>
      <c r="H117" s="133" t="s"/>
      <c r="I117" s="134" t="s"/>
      <c r="J117" s="134" t="s"/>
      <c r="K117" s="131" t="s"/>
      <c r="L117" s="131" t="s"/>
      <c r="M117" s="131" t="s"/>
      <c r="N117" s="131" t="s"/>
      <c r="O117" s="131" t="s"/>
      <c r="P117" s="131" t="s"/>
      <c r="Q117" s="131" t="s"/>
      <c r="R117" s="131" t="s"/>
      <c r="S117" s="131" t="s"/>
      <c r="T117" s="131" t="s"/>
      <c r="U117" s="131" t="s"/>
      <c r="V117" s="131" t="s"/>
      <c r="W117" s="131" t="s"/>
      <c r="X117" s="131" t="s"/>
      <c r="Y117" s="131" t="s"/>
      <c r="Z117" s="131" t="s"/>
      <c r="AA117" s="131" t="s"/>
      <c r="AB117" s="131" t="s"/>
    </row>
    <row r="118" spans="1:28">
      <c r="A118" s="130" t="s"/>
      <c r="B118" s="131" t="s"/>
      <c r="C118" s="132" t="s"/>
      <c r="D118" s="130" t="s"/>
      <c r="E118" s="130" t="s"/>
      <c r="F118" s="130" t="s"/>
      <c r="G118" s="133" t="s"/>
      <c r="H118" s="133" t="s"/>
      <c r="I118" s="134" t="s"/>
      <c r="J118" s="134" t="s"/>
      <c r="K118" s="131" t="s"/>
      <c r="L118" s="131" t="s"/>
      <c r="M118" s="131" t="s"/>
      <c r="N118" s="131" t="s"/>
      <c r="O118" s="131" t="s"/>
      <c r="P118" s="131" t="s"/>
      <c r="Q118" s="131" t="s"/>
      <c r="R118" s="131" t="s"/>
      <c r="S118" s="131" t="s"/>
      <c r="T118" s="131" t="s"/>
      <c r="U118" s="131" t="s"/>
      <c r="V118" s="131" t="s"/>
      <c r="W118" s="131" t="s"/>
      <c r="X118" s="131" t="s"/>
      <c r="Y118" s="131" t="s"/>
      <c r="Z118" s="131" t="s"/>
      <c r="AA118" s="131" t="s"/>
      <c r="AB118" s="131" t="s"/>
    </row>
    <row r="119" spans="1:28">
      <c r="A119" s="130" t="s"/>
      <c r="B119" s="131" t="s"/>
      <c r="C119" s="132" t="s"/>
      <c r="D119" s="130" t="s"/>
      <c r="E119" s="130" t="s"/>
      <c r="F119" s="130" t="s"/>
      <c r="G119" s="133" t="s"/>
      <c r="H119" s="133" t="s"/>
      <c r="I119" s="134" t="s"/>
      <c r="J119" s="134" t="s"/>
      <c r="K119" s="131" t="s"/>
      <c r="L119" s="131" t="s"/>
      <c r="M119" s="131" t="s"/>
      <c r="N119" s="131" t="s"/>
      <c r="O119" s="131" t="s"/>
      <c r="P119" s="131" t="s"/>
      <c r="Q119" s="131" t="s"/>
      <c r="R119" s="131" t="s"/>
      <c r="S119" s="131" t="s"/>
      <c r="T119" s="131" t="s"/>
      <c r="U119" s="131" t="s"/>
      <c r="V119" s="131" t="s"/>
      <c r="W119" s="131" t="s"/>
      <c r="X119" s="131" t="s"/>
      <c r="Y119" s="131" t="s"/>
      <c r="Z119" s="131" t="s"/>
      <c r="AA119" s="131" t="s"/>
      <c r="AB119" s="131" t="s"/>
    </row>
    <row r="120" spans="1:28">
      <c r="A120" s="130" t="s"/>
      <c r="B120" s="131" t="s"/>
      <c r="C120" s="132" t="s"/>
      <c r="D120" s="130" t="s"/>
      <c r="E120" s="130" t="s"/>
      <c r="F120" s="130" t="s"/>
      <c r="G120" s="133" t="s"/>
      <c r="H120" s="133" t="s"/>
      <c r="I120" s="134" t="s"/>
      <c r="J120" s="134" t="s"/>
      <c r="K120" s="131" t="s"/>
      <c r="L120" s="131" t="s"/>
      <c r="M120" s="131" t="s"/>
      <c r="N120" s="131" t="s"/>
      <c r="O120" s="131" t="s"/>
      <c r="P120" s="131" t="s"/>
      <c r="Q120" s="131" t="s"/>
      <c r="R120" s="131" t="s"/>
      <c r="S120" s="131" t="s"/>
      <c r="T120" s="131" t="s"/>
      <c r="U120" s="131" t="s"/>
      <c r="V120" s="131" t="s"/>
      <c r="W120" s="131" t="s"/>
      <c r="X120" s="131" t="s"/>
      <c r="Y120" s="131" t="s"/>
      <c r="Z120" s="131" t="s"/>
      <c r="AA120" s="131" t="s"/>
      <c r="AB120" s="131" t="s"/>
    </row>
    <row r="121" spans="1:28">
      <c r="A121" s="130" t="s"/>
      <c r="B121" s="131" t="s"/>
      <c r="C121" s="132" t="s"/>
      <c r="D121" s="130" t="s"/>
      <c r="E121" s="130" t="s"/>
      <c r="F121" s="130" t="s"/>
      <c r="G121" s="133" t="s"/>
      <c r="H121" s="133" t="s"/>
      <c r="I121" s="134" t="s"/>
      <c r="J121" s="134" t="s"/>
      <c r="K121" s="131" t="s"/>
      <c r="L121" s="131" t="s"/>
      <c r="M121" s="131" t="s"/>
      <c r="N121" s="131" t="s"/>
      <c r="O121" s="131" t="s"/>
      <c r="P121" s="131" t="s"/>
      <c r="Q121" s="131" t="s"/>
      <c r="R121" s="131" t="s"/>
      <c r="S121" s="131" t="s"/>
      <c r="T121" s="131" t="s"/>
      <c r="U121" s="131" t="s"/>
      <c r="V121" s="131" t="s"/>
      <c r="W121" s="131" t="s"/>
      <c r="X121" s="131" t="s"/>
      <c r="Y121" s="131" t="s"/>
      <c r="Z121" s="131" t="s"/>
      <c r="AA121" s="131" t="s"/>
      <c r="AB121" s="131" t="s"/>
    </row>
    <row r="122" spans="1:28">
      <c r="A122" s="130" t="s"/>
      <c r="B122" s="131" t="s"/>
      <c r="C122" s="132" t="s"/>
      <c r="D122" s="130" t="s"/>
      <c r="E122" s="130" t="s"/>
      <c r="F122" s="130" t="s"/>
      <c r="G122" s="133" t="s"/>
      <c r="H122" s="133" t="s"/>
      <c r="I122" s="134" t="s"/>
      <c r="J122" s="134" t="s"/>
      <c r="K122" s="131" t="s"/>
      <c r="L122" s="131" t="s"/>
      <c r="M122" s="131" t="s"/>
      <c r="N122" s="131" t="s"/>
      <c r="O122" s="131" t="s"/>
      <c r="P122" s="131" t="s"/>
      <c r="Q122" s="131" t="s"/>
      <c r="R122" s="131" t="s"/>
      <c r="S122" s="131" t="s"/>
      <c r="T122" s="131" t="s"/>
      <c r="U122" s="131" t="s"/>
      <c r="V122" s="131" t="s"/>
      <c r="W122" s="131" t="s"/>
      <c r="X122" s="131" t="s"/>
      <c r="Y122" s="131" t="s"/>
      <c r="Z122" s="131" t="s"/>
      <c r="AA122" s="131" t="s"/>
      <c r="AB122" s="131" t="s"/>
    </row>
    <row r="123" spans="1:28">
      <c r="A123" s="130" t="s"/>
      <c r="B123" s="131" t="s"/>
      <c r="C123" s="132" t="s"/>
      <c r="D123" s="130" t="s"/>
      <c r="E123" s="130" t="s"/>
      <c r="F123" s="130" t="s"/>
      <c r="G123" s="133" t="s"/>
      <c r="H123" s="133" t="s"/>
      <c r="I123" s="134" t="s"/>
      <c r="J123" s="134" t="s"/>
      <c r="K123" s="131" t="s"/>
      <c r="L123" s="131" t="s"/>
      <c r="M123" s="131" t="s"/>
      <c r="N123" s="131" t="s"/>
      <c r="O123" s="131" t="s"/>
      <c r="P123" s="131" t="s"/>
      <c r="Q123" s="131" t="s"/>
      <c r="R123" s="131" t="s"/>
      <c r="S123" s="131" t="s"/>
      <c r="T123" s="131" t="s"/>
      <c r="U123" s="131" t="s"/>
      <c r="V123" s="131" t="s"/>
      <c r="W123" s="131" t="s"/>
      <c r="X123" s="131" t="s"/>
      <c r="Y123" s="131" t="s"/>
      <c r="Z123" s="131" t="s"/>
      <c r="AA123" s="131" t="s"/>
      <c r="AB123" s="131" t="s"/>
    </row>
    <row r="124" spans="1:28">
      <c r="A124" s="130" t="s"/>
      <c r="B124" s="131" t="s"/>
      <c r="C124" s="132" t="s"/>
      <c r="D124" s="130" t="s"/>
      <c r="E124" s="130" t="s"/>
      <c r="F124" s="130" t="s"/>
      <c r="G124" s="133" t="s"/>
      <c r="H124" s="133" t="s"/>
      <c r="I124" s="134" t="s"/>
      <c r="J124" s="134" t="s"/>
      <c r="K124" s="131" t="s"/>
      <c r="L124" s="131" t="s"/>
      <c r="M124" s="131" t="s"/>
      <c r="N124" s="131" t="s"/>
      <c r="O124" s="131" t="s"/>
      <c r="P124" s="131" t="s"/>
      <c r="Q124" s="131" t="s"/>
      <c r="R124" s="131" t="s"/>
      <c r="S124" s="131" t="s"/>
      <c r="T124" s="131" t="s"/>
      <c r="U124" s="131" t="s"/>
      <c r="V124" s="131" t="s"/>
      <c r="W124" s="131" t="s"/>
      <c r="X124" s="131" t="s"/>
      <c r="Y124" s="131" t="s"/>
      <c r="Z124" s="131" t="s"/>
      <c r="AA124" s="131" t="s"/>
      <c r="AB124" s="131" t="s"/>
    </row>
    <row r="125" spans="1:28">
      <c r="A125" s="130" t="s"/>
      <c r="B125" s="131" t="s"/>
      <c r="C125" s="132" t="s"/>
      <c r="D125" s="130" t="s"/>
      <c r="E125" s="130" t="s"/>
      <c r="F125" s="130" t="s"/>
      <c r="G125" s="133" t="s"/>
      <c r="H125" s="133" t="s"/>
      <c r="I125" s="134" t="s"/>
      <c r="J125" s="134" t="s"/>
      <c r="K125" s="131" t="s"/>
      <c r="L125" s="131" t="s"/>
      <c r="M125" s="131" t="s"/>
      <c r="N125" s="131" t="s"/>
      <c r="O125" s="131" t="s"/>
      <c r="P125" s="131" t="s"/>
      <c r="Q125" s="131" t="s"/>
      <c r="R125" s="131" t="s"/>
      <c r="S125" s="131" t="s"/>
      <c r="T125" s="131" t="s"/>
      <c r="U125" s="131" t="s"/>
      <c r="V125" s="131" t="s"/>
      <c r="W125" s="131" t="s"/>
      <c r="X125" s="131" t="s"/>
      <c r="Y125" s="131" t="s"/>
      <c r="Z125" s="131" t="s"/>
      <c r="AA125" s="131" t="s"/>
      <c r="AB125" s="131" t="s"/>
    </row>
    <row r="126" spans="1:28">
      <c r="A126" s="130" t="s"/>
      <c r="B126" s="131" t="s"/>
      <c r="C126" s="132" t="s"/>
      <c r="D126" s="130" t="s"/>
      <c r="E126" s="130" t="s"/>
      <c r="F126" s="130" t="s"/>
      <c r="G126" s="133" t="s"/>
      <c r="H126" s="133" t="s"/>
      <c r="I126" s="134" t="s"/>
      <c r="J126" s="134" t="s"/>
      <c r="K126" s="131" t="s"/>
      <c r="L126" s="131" t="s"/>
      <c r="M126" s="131" t="s"/>
      <c r="N126" s="131" t="s"/>
      <c r="O126" s="131" t="s"/>
      <c r="P126" s="131" t="s"/>
      <c r="Q126" s="131" t="s"/>
      <c r="R126" s="131" t="s"/>
      <c r="S126" s="131" t="s"/>
      <c r="T126" s="131" t="s"/>
      <c r="U126" s="131" t="s"/>
      <c r="V126" s="131" t="s"/>
      <c r="W126" s="131" t="s"/>
      <c r="X126" s="131" t="s"/>
      <c r="Y126" s="131" t="s"/>
      <c r="Z126" s="131" t="s"/>
      <c r="AA126" s="131" t="s"/>
      <c r="AB126" s="131" t="s"/>
    </row>
    <row r="127" spans="1:28">
      <c r="A127" s="130" t="s"/>
      <c r="B127" s="131" t="s"/>
      <c r="C127" s="132" t="s"/>
      <c r="D127" s="130" t="s"/>
      <c r="E127" s="130" t="s"/>
      <c r="F127" s="130" t="s"/>
      <c r="G127" s="133" t="s"/>
      <c r="H127" s="133" t="s"/>
      <c r="I127" s="134" t="s"/>
      <c r="J127" s="134" t="s"/>
      <c r="K127" s="131" t="s"/>
      <c r="L127" s="131" t="s"/>
      <c r="M127" s="131" t="s"/>
      <c r="N127" s="131" t="s"/>
      <c r="O127" s="131" t="s"/>
      <c r="P127" s="131" t="s"/>
      <c r="Q127" s="131" t="s"/>
      <c r="R127" s="131" t="s"/>
      <c r="S127" s="131" t="s"/>
      <c r="T127" s="131" t="s"/>
      <c r="U127" s="131" t="s"/>
      <c r="V127" s="131" t="s"/>
      <c r="W127" s="131" t="s"/>
      <c r="X127" s="131" t="s"/>
      <c r="Y127" s="131" t="s"/>
      <c r="Z127" s="131" t="s"/>
      <c r="AA127" s="131" t="s"/>
      <c r="AB127" s="131" t="s"/>
    </row>
    <row r="128" spans="1:28">
      <c r="A128" s="130" t="s"/>
      <c r="B128" s="131" t="s"/>
      <c r="C128" s="132" t="s"/>
      <c r="D128" s="130" t="s"/>
      <c r="E128" s="130" t="s"/>
      <c r="F128" s="130" t="s"/>
      <c r="G128" s="133" t="s"/>
      <c r="H128" s="133" t="s"/>
      <c r="I128" s="134" t="s"/>
      <c r="J128" s="134" t="s"/>
      <c r="K128" s="131" t="s"/>
      <c r="L128" s="131" t="s"/>
      <c r="M128" s="131" t="s"/>
      <c r="N128" s="131" t="s"/>
      <c r="O128" s="131" t="s"/>
      <c r="P128" s="131" t="s"/>
      <c r="Q128" s="131" t="s"/>
      <c r="R128" s="131" t="s"/>
      <c r="S128" s="131" t="s"/>
      <c r="T128" s="131" t="s"/>
      <c r="U128" s="131" t="s"/>
      <c r="V128" s="131" t="s"/>
      <c r="W128" s="131" t="s"/>
      <c r="X128" s="131" t="s"/>
      <c r="Y128" s="131" t="s"/>
      <c r="Z128" s="131" t="s"/>
      <c r="AA128" s="131" t="s"/>
      <c r="AB128" s="131" t="s"/>
    </row>
    <row r="129" spans="1:28">
      <c r="A129" s="130" t="s"/>
      <c r="B129" s="131" t="s"/>
      <c r="C129" s="132" t="s"/>
      <c r="D129" s="130" t="s"/>
      <c r="E129" s="130" t="s"/>
      <c r="F129" s="130" t="s"/>
      <c r="G129" s="133" t="s"/>
      <c r="H129" s="133" t="s"/>
      <c r="I129" s="134" t="s"/>
      <c r="J129" s="134" t="s"/>
      <c r="K129" s="131" t="s"/>
      <c r="L129" s="131" t="s"/>
      <c r="M129" s="131" t="s"/>
      <c r="N129" s="131" t="s"/>
      <c r="O129" s="131" t="s"/>
      <c r="P129" s="131" t="s"/>
      <c r="Q129" s="131" t="s"/>
      <c r="R129" s="131" t="s"/>
      <c r="S129" s="131" t="s"/>
      <c r="T129" s="131" t="s"/>
      <c r="U129" s="131" t="s"/>
      <c r="V129" s="131" t="s"/>
      <c r="W129" s="131" t="s"/>
      <c r="X129" s="131" t="s"/>
      <c r="Y129" s="131" t="s"/>
      <c r="Z129" s="131" t="s"/>
      <c r="AA129" s="131" t="s"/>
      <c r="AB129" s="131" t="s"/>
    </row>
    <row r="130" spans="1:28">
      <c r="A130" s="130" t="s"/>
      <c r="B130" s="131" t="s"/>
      <c r="C130" s="132" t="s"/>
      <c r="D130" s="130" t="s"/>
      <c r="E130" s="130" t="s"/>
      <c r="F130" s="130" t="s"/>
      <c r="G130" s="133" t="s"/>
      <c r="H130" s="133" t="s"/>
      <c r="I130" s="134" t="s"/>
      <c r="J130" s="134" t="s"/>
      <c r="K130" s="131" t="s"/>
      <c r="L130" s="131" t="s"/>
      <c r="M130" s="131" t="s"/>
      <c r="N130" s="131" t="s"/>
      <c r="O130" s="131" t="s"/>
      <c r="P130" s="131" t="s"/>
      <c r="Q130" s="131" t="s"/>
      <c r="R130" s="131" t="s"/>
      <c r="S130" s="131" t="s"/>
      <c r="T130" s="131" t="s"/>
      <c r="U130" s="131" t="s"/>
      <c r="V130" s="131" t="s"/>
      <c r="W130" s="131" t="s"/>
      <c r="X130" s="131" t="s"/>
      <c r="Y130" s="131" t="s"/>
      <c r="Z130" s="131" t="s"/>
      <c r="AA130" s="131" t="s"/>
      <c r="AB130" s="131" t="s"/>
    </row>
    <row r="131" spans="1:28">
      <c r="A131" s="130" t="s"/>
      <c r="B131" s="131" t="s"/>
      <c r="C131" s="132" t="s"/>
      <c r="D131" s="130" t="s"/>
      <c r="E131" s="130" t="s"/>
      <c r="F131" s="130" t="s"/>
      <c r="G131" s="133" t="s"/>
      <c r="H131" s="133" t="s"/>
      <c r="I131" s="134" t="s"/>
      <c r="J131" s="134" t="s"/>
      <c r="K131" s="131" t="s"/>
      <c r="L131" s="131" t="s"/>
      <c r="M131" s="131" t="s"/>
      <c r="N131" s="131" t="s"/>
      <c r="O131" s="131" t="s"/>
      <c r="P131" s="131" t="s"/>
      <c r="Q131" s="131" t="s"/>
      <c r="R131" s="131" t="s"/>
      <c r="S131" s="131" t="s"/>
      <c r="T131" s="131" t="s"/>
      <c r="U131" s="131" t="s"/>
      <c r="V131" s="131" t="s"/>
      <c r="W131" s="131" t="s"/>
      <c r="X131" s="131" t="s"/>
      <c r="Y131" s="131" t="s"/>
      <c r="Z131" s="131" t="s"/>
      <c r="AA131" s="131" t="s"/>
      <c r="AB131" s="131" t="s"/>
    </row>
    <row r="132" spans="1:28">
      <c r="A132" s="130" t="s"/>
      <c r="B132" s="131" t="s"/>
      <c r="C132" s="132" t="s"/>
      <c r="D132" s="130" t="s"/>
      <c r="E132" s="130" t="s"/>
      <c r="F132" s="130" t="s"/>
      <c r="G132" s="133" t="s"/>
      <c r="H132" s="133" t="s"/>
      <c r="I132" s="134" t="s"/>
      <c r="J132" s="134" t="s"/>
      <c r="K132" s="131" t="s"/>
      <c r="L132" s="131" t="s"/>
      <c r="M132" s="131" t="s"/>
      <c r="N132" s="131" t="s"/>
      <c r="O132" s="131" t="s"/>
      <c r="P132" s="131" t="s"/>
      <c r="Q132" s="131" t="s"/>
      <c r="R132" s="131" t="s"/>
      <c r="S132" s="131" t="s"/>
      <c r="T132" s="131" t="s"/>
      <c r="U132" s="131" t="s"/>
      <c r="V132" s="131" t="s"/>
      <c r="W132" s="131" t="s"/>
      <c r="X132" s="131" t="s"/>
      <c r="Y132" s="131" t="s"/>
      <c r="Z132" s="131" t="s"/>
      <c r="AA132" s="131" t="s"/>
      <c r="AB132" s="131" t="s"/>
    </row>
    <row r="133" spans="1:28">
      <c r="A133" s="130" t="s"/>
      <c r="B133" s="131" t="s"/>
      <c r="C133" s="132" t="s"/>
      <c r="D133" s="130" t="s"/>
      <c r="E133" s="130" t="s"/>
      <c r="F133" s="130" t="s"/>
      <c r="G133" s="133" t="s"/>
      <c r="H133" s="133" t="s"/>
      <c r="I133" s="134" t="s"/>
      <c r="J133" s="134" t="s"/>
      <c r="K133" s="131" t="s"/>
      <c r="L133" s="131" t="s"/>
      <c r="M133" s="131" t="s"/>
      <c r="N133" s="131" t="s"/>
      <c r="O133" s="131" t="s"/>
      <c r="P133" s="131" t="s"/>
      <c r="Q133" s="131" t="s"/>
      <c r="R133" s="131" t="s"/>
      <c r="S133" s="131" t="s"/>
      <c r="T133" s="131" t="s"/>
      <c r="U133" s="131" t="s"/>
      <c r="V133" s="131" t="s"/>
      <c r="W133" s="131" t="s"/>
      <c r="X133" s="131" t="s"/>
      <c r="Y133" s="131" t="s"/>
      <c r="Z133" s="131" t="s"/>
      <c r="AA133" s="131" t="s"/>
      <c r="AB133" s="131" t="s"/>
    </row>
    <row r="134" spans="1:28">
      <c r="A134" s="130" t="s"/>
      <c r="B134" s="131" t="s"/>
      <c r="C134" s="132" t="s"/>
      <c r="D134" s="130" t="s"/>
      <c r="E134" s="130" t="s"/>
      <c r="F134" s="130" t="s"/>
      <c r="G134" s="133" t="s"/>
      <c r="H134" s="133" t="s"/>
      <c r="I134" s="134" t="s"/>
      <c r="J134" s="134" t="s"/>
      <c r="K134" s="131" t="s"/>
      <c r="L134" s="131" t="s"/>
      <c r="M134" s="131" t="s"/>
      <c r="N134" s="131" t="s"/>
      <c r="O134" s="131" t="s"/>
      <c r="P134" s="131" t="s"/>
      <c r="Q134" s="131" t="s"/>
      <c r="R134" s="131" t="s"/>
      <c r="S134" s="131" t="s"/>
      <c r="T134" s="131" t="s"/>
      <c r="U134" s="131" t="s"/>
      <c r="V134" s="131" t="s"/>
      <c r="W134" s="131" t="s"/>
      <c r="X134" s="131" t="s"/>
      <c r="Y134" s="131" t="s"/>
      <c r="Z134" s="131" t="s"/>
      <c r="AA134" s="131" t="s"/>
      <c r="AB134" s="131" t="s"/>
    </row>
    <row r="135" spans="1:28">
      <c r="A135" s="130" t="s"/>
      <c r="B135" s="131" t="s"/>
      <c r="C135" s="132" t="s"/>
      <c r="D135" s="130" t="s"/>
      <c r="E135" s="130" t="s"/>
      <c r="F135" s="130" t="s"/>
      <c r="G135" s="133" t="s"/>
      <c r="H135" s="133" t="s"/>
      <c r="I135" s="134" t="s"/>
      <c r="J135" s="134" t="s"/>
      <c r="K135" s="131" t="s"/>
      <c r="L135" s="131" t="s"/>
      <c r="M135" s="131" t="s"/>
      <c r="N135" s="131" t="s"/>
      <c r="O135" s="131" t="s"/>
      <c r="P135" s="131" t="s"/>
      <c r="Q135" s="131" t="s"/>
      <c r="R135" s="131" t="s"/>
      <c r="S135" s="131" t="s"/>
      <c r="T135" s="131" t="s"/>
      <c r="U135" s="131" t="s"/>
      <c r="V135" s="131" t="s"/>
      <c r="W135" s="131" t="s"/>
      <c r="X135" s="131" t="s"/>
      <c r="Y135" s="131" t="s"/>
      <c r="Z135" s="131" t="s"/>
      <c r="AA135" s="131" t="s"/>
      <c r="AB135" s="131" t="s"/>
    </row>
    <row r="136" spans="1:28">
      <c r="A136" s="130" t="s"/>
      <c r="B136" s="131" t="s"/>
      <c r="C136" s="132" t="s"/>
      <c r="D136" s="130" t="s"/>
      <c r="E136" s="130" t="s"/>
      <c r="F136" s="130" t="s"/>
      <c r="G136" s="133" t="s"/>
      <c r="H136" s="133" t="s"/>
      <c r="I136" s="134" t="s"/>
      <c r="J136" s="134" t="s"/>
      <c r="K136" s="131" t="s"/>
      <c r="L136" s="131" t="s"/>
      <c r="M136" s="131" t="s"/>
      <c r="N136" s="131" t="s"/>
      <c r="O136" s="131" t="s"/>
      <c r="P136" s="131" t="s"/>
      <c r="Q136" s="131" t="s"/>
      <c r="R136" s="131" t="s"/>
      <c r="S136" s="131" t="s"/>
      <c r="T136" s="131" t="s"/>
      <c r="U136" s="131" t="s"/>
      <c r="V136" s="131" t="s"/>
      <c r="W136" s="131" t="s"/>
      <c r="X136" s="131" t="s"/>
      <c r="Y136" s="131" t="s"/>
      <c r="Z136" s="131" t="s"/>
      <c r="AA136" s="131" t="s"/>
      <c r="AB136" s="131" t="s"/>
    </row>
    <row r="137" spans="1:28">
      <c r="A137" s="130" t="s"/>
      <c r="B137" s="131" t="s"/>
      <c r="C137" s="132" t="s"/>
      <c r="D137" s="130" t="s"/>
      <c r="E137" s="130" t="s"/>
      <c r="F137" s="130" t="s"/>
      <c r="G137" s="133" t="s"/>
      <c r="H137" s="133" t="s"/>
      <c r="I137" s="134" t="s"/>
      <c r="J137" s="134" t="s"/>
      <c r="K137" s="131" t="s"/>
      <c r="L137" s="131" t="s"/>
      <c r="M137" s="131" t="s"/>
      <c r="N137" s="131" t="s"/>
      <c r="O137" s="131" t="s"/>
      <c r="P137" s="131" t="s"/>
      <c r="Q137" s="131" t="s"/>
      <c r="R137" s="131" t="s"/>
      <c r="S137" s="131" t="s"/>
      <c r="T137" s="131" t="s"/>
      <c r="U137" s="131" t="s"/>
      <c r="V137" s="131" t="s"/>
      <c r="W137" s="131" t="s"/>
      <c r="X137" s="131" t="s"/>
      <c r="Y137" s="131" t="s"/>
      <c r="Z137" s="131" t="s"/>
      <c r="AA137" s="131" t="s"/>
      <c r="AB137" s="131" t="s"/>
    </row>
    <row r="138" spans="1:28">
      <c r="A138" s="130" t="s"/>
      <c r="B138" s="131" t="s"/>
      <c r="C138" s="132" t="s"/>
      <c r="D138" s="130" t="s"/>
      <c r="E138" s="130" t="s"/>
      <c r="F138" s="130" t="s"/>
      <c r="G138" s="133" t="s"/>
      <c r="H138" s="133" t="s"/>
      <c r="I138" s="134" t="s"/>
      <c r="J138" s="134" t="s"/>
      <c r="K138" s="131" t="s"/>
      <c r="L138" s="131" t="s"/>
      <c r="M138" s="131" t="s"/>
      <c r="N138" s="131" t="s"/>
      <c r="O138" s="131" t="s"/>
      <c r="P138" s="131" t="s"/>
      <c r="Q138" s="131" t="s"/>
      <c r="R138" s="131" t="s"/>
      <c r="S138" s="131" t="s"/>
      <c r="T138" s="131" t="s"/>
      <c r="U138" s="131" t="s"/>
      <c r="V138" s="131" t="s"/>
      <c r="W138" s="131" t="s"/>
      <c r="X138" s="131" t="s"/>
      <c r="Y138" s="131" t="s"/>
      <c r="Z138" s="131" t="s"/>
      <c r="AA138" s="131" t="s"/>
      <c r="AB138" s="131" t="s"/>
    </row>
    <row r="139" spans="1:28">
      <c r="A139" s="130" t="s"/>
      <c r="B139" s="131" t="s"/>
      <c r="C139" s="132" t="s"/>
      <c r="D139" s="130" t="s"/>
      <c r="E139" s="130" t="s"/>
      <c r="F139" s="130" t="s"/>
      <c r="G139" s="133" t="s"/>
      <c r="H139" s="133" t="s"/>
      <c r="I139" s="134" t="s"/>
      <c r="J139" s="134" t="s"/>
      <c r="K139" s="131" t="s"/>
      <c r="L139" s="131" t="s"/>
      <c r="M139" s="131" t="s"/>
      <c r="N139" s="131" t="s"/>
      <c r="O139" s="131" t="s"/>
      <c r="P139" s="131" t="s"/>
      <c r="Q139" s="131" t="s"/>
      <c r="R139" s="131" t="s"/>
      <c r="S139" s="131" t="s"/>
      <c r="T139" s="131" t="s"/>
      <c r="U139" s="131" t="s"/>
      <c r="V139" s="131" t="s"/>
      <c r="W139" s="131" t="s"/>
      <c r="X139" s="131" t="s"/>
      <c r="Y139" s="131" t="s"/>
      <c r="Z139" s="131" t="s"/>
      <c r="AA139" s="131" t="s"/>
      <c r="AB139" s="131" t="s"/>
    </row>
    <row r="140" spans="1:28">
      <c r="A140" s="130" t="s"/>
      <c r="B140" s="131" t="s"/>
      <c r="C140" s="132" t="s"/>
      <c r="D140" s="130" t="s"/>
      <c r="E140" s="130" t="s"/>
      <c r="F140" s="130" t="s"/>
      <c r="G140" s="133" t="s"/>
      <c r="H140" s="133" t="s"/>
      <c r="I140" s="134" t="s"/>
      <c r="J140" s="134" t="s"/>
      <c r="K140" s="131" t="s"/>
      <c r="L140" s="131" t="s"/>
      <c r="M140" s="131" t="s"/>
      <c r="N140" s="131" t="s"/>
      <c r="O140" s="131" t="s"/>
      <c r="P140" s="131" t="s"/>
      <c r="Q140" s="131" t="s"/>
      <c r="R140" s="131" t="s"/>
      <c r="S140" s="131" t="s"/>
      <c r="T140" s="131" t="s"/>
      <c r="U140" s="131" t="s"/>
      <c r="V140" s="131" t="s"/>
      <c r="W140" s="131" t="s"/>
      <c r="X140" s="131" t="s"/>
      <c r="Y140" s="131" t="s"/>
      <c r="Z140" s="131" t="s"/>
      <c r="AA140" s="131" t="s"/>
      <c r="AB140" s="131" t="s"/>
    </row>
    <row r="141" spans="1:28">
      <c r="A141" s="130" t="s"/>
      <c r="B141" s="131" t="s"/>
      <c r="C141" s="132" t="s"/>
      <c r="D141" s="130" t="s"/>
      <c r="E141" s="130" t="s"/>
      <c r="F141" s="130" t="s"/>
      <c r="G141" s="133" t="s"/>
      <c r="H141" s="133" t="s"/>
      <c r="I141" s="134" t="s"/>
      <c r="J141" s="134" t="s"/>
      <c r="K141" s="131" t="s"/>
      <c r="L141" s="131" t="s"/>
      <c r="M141" s="131" t="s"/>
      <c r="N141" s="131" t="s"/>
      <c r="O141" s="131" t="s"/>
      <c r="P141" s="131" t="s"/>
      <c r="Q141" s="131" t="s"/>
      <c r="R141" s="131" t="s"/>
      <c r="S141" s="131" t="s"/>
      <c r="T141" s="131" t="s"/>
      <c r="U141" s="131" t="s"/>
      <c r="V141" s="131" t="s"/>
      <c r="W141" s="131" t="s"/>
      <c r="X141" s="131" t="s"/>
      <c r="Y141" s="131" t="s"/>
      <c r="Z141" s="131" t="s"/>
      <c r="AA141" s="131" t="s"/>
      <c r="AB141" s="131" t="s"/>
    </row>
    <row r="142" spans="1:28">
      <c r="A142" s="130" t="s"/>
      <c r="B142" s="131" t="s"/>
      <c r="C142" s="132" t="s"/>
      <c r="D142" s="130" t="s"/>
      <c r="E142" s="130" t="s"/>
      <c r="F142" s="130" t="s"/>
      <c r="G142" s="133" t="s"/>
      <c r="H142" s="133" t="s"/>
      <c r="I142" s="134" t="s"/>
      <c r="J142" s="134" t="s"/>
      <c r="K142" s="131" t="s"/>
      <c r="L142" s="131" t="s"/>
      <c r="M142" s="131" t="s"/>
      <c r="N142" s="131" t="s"/>
      <c r="O142" s="131" t="s"/>
      <c r="P142" s="131" t="s"/>
      <c r="Q142" s="131" t="s"/>
      <c r="R142" s="131" t="s"/>
      <c r="S142" s="131" t="s"/>
      <c r="T142" s="131" t="s"/>
      <c r="U142" s="131" t="s"/>
      <c r="V142" s="131" t="s"/>
      <c r="W142" s="131" t="s"/>
      <c r="X142" s="131" t="s"/>
      <c r="Y142" s="131" t="s"/>
      <c r="Z142" s="131" t="s"/>
      <c r="AA142" s="131" t="s"/>
      <c r="AB142" s="131" t="s"/>
    </row>
    <row r="143" spans="1:28">
      <c r="A143" s="130" t="s"/>
      <c r="B143" s="131" t="s"/>
      <c r="C143" s="132" t="s"/>
      <c r="D143" s="130" t="s"/>
      <c r="E143" s="130" t="s"/>
      <c r="F143" s="130" t="s"/>
      <c r="G143" s="133" t="s"/>
      <c r="H143" s="133" t="s"/>
      <c r="I143" s="134" t="s"/>
      <c r="J143" s="134" t="s"/>
      <c r="K143" s="131" t="s"/>
      <c r="L143" s="131" t="s"/>
      <c r="M143" s="131" t="s"/>
      <c r="N143" s="131" t="s"/>
      <c r="O143" s="131" t="s"/>
      <c r="P143" s="131" t="s"/>
      <c r="Q143" s="131" t="s"/>
      <c r="R143" s="131" t="s"/>
      <c r="S143" s="131" t="s"/>
      <c r="T143" s="131" t="s"/>
      <c r="U143" s="131" t="s"/>
      <c r="V143" s="131" t="s"/>
      <c r="W143" s="131" t="s"/>
      <c r="X143" s="131" t="s"/>
      <c r="Y143" s="131" t="s"/>
      <c r="Z143" s="131" t="s"/>
      <c r="AA143" s="131" t="s"/>
      <c r="AB143" s="131" t="s"/>
    </row>
    <row r="144" spans="1:28">
      <c r="A144" s="130" t="s"/>
      <c r="B144" s="131" t="s"/>
      <c r="C144" s="132" t="s"/>
      <c r="D144" s="130" t="s"/>
      <c r="E144" s="130" t="s"/>
      <c r="F144" s="130" t="s"/>
      <c r="G144" s="133" t="s"/>
      <c r="H144" s="133" t="s"/>
      <c r="I144" s="134" t="s"/>
      <c r="J144" s="134" t="s"/>
      <c r="K144" s="131" t="s"/>
      <c r="L144" s="131" t="s"/>
      <c r="M144" s="131" t="s"/>
      <c r="N144" s="131" t="s"/>
      <c r="O144" s="131" t="s"/>
      <c r="P144" s="131" t="s"/>
      <c r="Q144" s="131" t="s"/>
      <c r="R144" s="131" t="s"/>
      <c r="S144" s="131" t="s"/>
      <c r="T144" s="131" t="s"/>
      <c r="U144" s="131" t="s"/>
      <c r="V144" s="131" t="s"/>
      <c r="W144" s="131" t="s"/>
      <c r="X144" s="131" t="s"/>
      <c r="Y144" s="131" t="s"/>
      <c r="Z144" s="131" t="s"/>
      <c r="AA144" s="131" t="s"/>
      <c r="AB144" s="131" t="s"/>
    </row>
    <row r="145" spans="1:28">
      <c r="A145" s="130" t="s"/>
      <c r="B145" s="131" t="s"/>
      <c r="C145" s="132" t="s"/>
      <c r="D145" s="130" t="s"/>
      <c r="E145" s="130" t="s"/>
      <c r="F145" s="130" t="s"/>
      <c r="G145" s="133" t="s"/>
      <c r="H145" s="133" t="s"/>
      <c r="I145" s="134" t="s"/>
      <c r="J145" s="134" t="s"/>
      <c r="K145" s="131" t="s"/>
      <c r="L145" s="131" t="s"/>
      <c r="M145" s="131" t="s"/>
      <c r="N145" s="131" t="s"/>
      <c r="O145" s="131" t="s"/>
      <c r="P145" s="131" t="s"/>
      <c r="Q145" s="131" t="s"/>
      <c r="R145" s="131" t="s"/>
      <c r="S145" s="131" t="s"/>
      <c r="T145" s="131" t="s"/>
      <c r="U145" s="131" t="s"/>
      <c r="V145" s="131" t="s"/>
      <c r="W145" s="131" t="s"/>
      <c r="X145" s="131" t="s"/>
      <c r="Y145" s="131" t="s"/>
      <c r="Z145" s="131" t="s"/>
      <c r="AA145" s="131" t="s"/>
      <c r="AB145" s="131" t="s"/>
    </row>
    <row r="146" spans="1:28">
      <c r="A146" s="130" t="s"/>
      <c r="B146" s="131" t="s"/>
      <c r="C146" s="132" t="s"/>
      <c r="D146" s="130" t="s"/>
      <c r="E146" s="130" t="s"/>
      <c r="F146" s="130" t="s"/>
      <c r="G146" s="133" t="s"/>
      <c r="H146" s="133" t="s"/>
      <c r="I146" s="134" t="s"/>
      <c r="J146" s="134" t="s"/>
      <c r="K146" s="131" t="s"/>
      <c r="L146" s="131" t="s"/>
      <c r="M146" s="131" t="s"/>
      <c r="N146" s="131" t="s"/>
      <c r="O146" s="131" t="s"/>
      <c r="P146" s="131" t="s"/>
      <c r="Q146" s="131" t="s"/>
      <c r="R146" s="131" t="s"/>
      <c r="S146" s="131" t="s"/>
      <c r="T146" s="131" t="s"/>
      <c r="U146" s="131" t="s"/>
      <c r="V146" s="131" t="s"/>
      <c r="W146" s="131" t="s"/>
      <c r="X146" s="131" t="s"/>
      <c r="Y146" s="131" t="s"/>
      <c r="Z146" s="131" t="s"/>
      <c r="AA146" s="131" t="s"/>
      <c r="AB146" s="131" t="s"/>
    </row>
    <row r="147" spans="1:28">
      <c r="A147" s="130" t="s"/>
      <c r="B147" s="131" t="s"/>
      <c r="C147" s="132" t="s"/>
      <c r="D147" s="130" t="s"/>
      <c r="E147" s="130" t="s"/>
      <c r="F147" s="130" t="s"/>
      <c r="G147" s="133" t="s"/>
      <c r="H147" s="133" t="s"/>
      <c r="I147" s="134" t="s"/>
      <c r="J147" s="134" t="s"/>
      <c r="K147" s="131" t="s"/>
      <c r="L147" s="131" t="s"/>
      <c r="M147" s="131" t="s"/>
      <c r="N147" s="131" t="s"/>
      <c r="O147" s="131" t="s"/>
      <c r="P147" s="131" t="s"/>
      <c r="Q147" s="131" t="s"/>
      <c r="R147" s="131" t="s"/>
      <c r="S147" s="131" t="s"/>
      <c r="T147" s="131" t="s"/>
      <c r="U147" s="131" t="s"/>
      <c r="V147" s="131" t="s"/>
      <c r="W147" s="131" t="s"/>
      <c r="X147" s="131" t="s"/>
      <c r="Y147" s="131" t="s"/>
      <c r="Z147" s="131" t="s"/>
      <c r="AA147" s="131" t="s"/>
      <c r="AB147" s="131" t="s"/>
    </row>
    <row r="148" spans="1:28">
      <c r="A148" s="130" t="s"/>
      <c r="B148" s="131" t="s"/>
      <c r="C148" s="132" t="s"/>
      <c r="D148" s="130" t="s"/>
      <c r="E148" s="130" t="s"/>
      <c r="F148" s="130" t="s"/>
      <c r="G148" s="133" t="s"/>
      <c r="H148" s="133" t="s"/>
      <c r="I148" s="134" t="s"/>
      <c r="J148" s="134" t="s"/>
      <c r="K148" s="131" t="s"/>
      <c r="L148" s="131" t="s"/>
      <c r="M148" s="131" t="s"/>
      <c r="N148" s="131" t="s"/>
      <c r="O148" s="131" t="s"/>
      <c r="P148" s="131" t="s"/>
      <c r="Q148" s="131" t="s"/>
      <c r="R148" s="131" t="s"/>
      <c r="S148" s="131" t="s"/>
      <c r="T148" s="131" t="s"/>
      <c r="U148" s="131" t="s"/>
      <c r="V148" s="131" t="s"/>
      <c r="W148" s="131" t="s"/>
      <c r="X148" s="131" t="s"/>
      <c r="Y148" s="131" t="s"/>
      <c r="Z148" s="131" t="s"/>
      <c r="AA148" s="131" t="s"/>
      <c r="AB148" s="131" t="s"/>
    </row>
    <row r="149" spans="1:28">
      <c r="A149" s="130" t="s"/>
      <c r="B149" s="131" t="s"/>
      <c r="C149" s="132" t="s"/>
      <c r="D149" s="130" t="s"/>
      <c r="E149" s="130" t="s"/>
      <c r="F149" s="130" t="s"/>
      <c r="G149" s="133" t="s"/>
      <c r="H149" s="133" t="s"/>
      <c r="I149" s="134" t="s"/>
      <c r="J149" s="134" t="s"/>
      <c r="K149" s="131" t="s"/>
      <c r="L149" s="131" t="s"/>
      <c r="M149" s="131" t="s"/>
      <c r="N149" s="131" t="s"/>
      <c r="O149" s="131" t="s"/>
      <c r="P149" s="131" t="s"/>
      <c r="Q149" s="131" t="s"/>
      <c r="R149" s="131" t="s"/>
      <c r="S149" s="131" t="s"/>
      <c r="T149" s="131" t="s"/>
      <c r="U149" s="131" t="s"/>
      <c r="V149" s="131" t="s"/>
      <c r="W149" s="131" t="s"/>
      <c r="X149" s="131" t="s"/>
      <c r="Y149" s="131" t="s"/>
      <c r="Z149" s="131" t="s"/>
      <c r="AA149" s="131" t="s"/>
      <c r="AB149" s="131" t="s"/>
    </row>
    <row r="150" spans="1:28">
      <c r="A150" s="130" t="s"/>
      <c r="B150" s="131" t="s"/>
      <c r="C150" s="132" t="s"/>
      <c r="D150" s="130" t="s"/>
      <c r="E150" s="130" t="s"/>
      <c r="F150" s="130" t="s"/>
      <c r="G150" s="133" t="s"/>
      <c r="H150" s="133" t="s"/>
      <c r="I150" s="134" t="s"/>
      <c r="J150" s="134" t="s"/>
      <c r="K150" s="131" t="s"/>
      <c r="L150" s="131" t="s"/>
      <c r="M150" s="131" t="s"/>
      <c r="N150" s="131" t="s"/>
      <c r="O150" s="131" t="s"/>
      <c r="P150" s="131" t="s"/>
      <c r="Q150" s="131" t="s"/>
      <c r="R150" s="131" t="s"/>
      <c r="S150" s="131" t="s"/>
      <c r="T150" s="131" t="s"/>
      <c r="U150" s="131" t="s"/>
      <c r="V150" s="131" t="s"/>
      <c r="W150" s="131" t="s"/>
      <c r="X150" s="131" t="s"/>
      <c r="Y150" s="131" t="s"/>
      <c r="Z150" s="131" t="s"/>
      <c r="AA150" s="131" t="s"/>
      <c r="AB150" s="131" t="s"/>
    </row>
    <row r="151" spans="1:28">
      <c r="A151" s="130" t="s"/>
      <c r="B151" s="131" t="s"/>
      <c r="C151" s="132" t="s"/>
      <c r="D151" s="130" t="s"/>
      <c r="E151" s="130" t="s"/>
      <c r="F151" s="130" t="s"/>
      <c r="G151" s="133" t="s"/>
      <c r="H151" s="133" t="s"/>
      <c r="I151" s="134" t="s"/>
      <c r="J151" s="134" t="s"/>
      <c r="K151" s="131" t="s"/>
      <c r="L151" s="131" t="s"/>
      <c r="M151" s="131" t="s"/>
      <c r="N151" s="131" t="s"/>
      <c r="O151" s="131" t="s"/>
      <c r="P151" s="131" t="s"/>
      <c r="Q151" s="131" t="s"/>
      <c r="R151" s="131" t="s"/>
      <c r="S151" s="131" t="s"/>
      <c r="T151" s="131" t="s"/>
      <c r="U151" s="131" t="s"/>
      <c r="V151" s="131" t="s"/>
      <c r="W151" s="131" t="s"/>
      <c r="X151" s="131" t="s"/>
      <c r="Y151" s="131" t="s"/>
      <c r="Z151" s="131" t="s"/>
      <c r="AA151" s="131" t="s"/>
      <c r="AB151" s="131" t="s"/>
    </row>
    <row r="152" spans="1:28">
      <c r="A152" s="130" t="s"/>
      <c r="B152" s="131" t="s"/>
      <c r="C152" s="132" t="s"/>
      <c r="D152" s="130" t="s"/>
      <c r="E152" s="130" t="s"/>
      <c r="F152" s="130" t="s"/>
      <c r="G152" s="133" t="s"/>
      <c r="H152" s="133" t="s"/>
      <c r="I152" s="134" t="s"/>
      <c r="J152" s="134" t="s"/>
      <c r="K152" s="131" t="s"/>
      <c r="L152" s="131" t="s"/>
      <c r="M152" s="131" t="s"/>
      <c r="N152" s="131" t="s"/>
      <c r="O152" s="131" t="s"/>
      <c r="P152" s="131" t="s"/>
      <c r="Q152" s="131" t="s"/>
      <c r="R152" s="131" t="s"/>
      <c r="S152" s="131" t="s"/>
      <c r="T152" s="131" t="s"/>
      <c r="U152" s="131" t="s"/>
      <c r="V152" s="131" t="s"/>
      <c r="W152" s="131" t="s"/>
      <c r="X152" s="131" t="s"/>
      <c r="Y152" s="131" t="s"/>
      <c r="Z152" s="131" t="s"/>
      <c r="AA152" s="131" t="s"/>
      <c r="AB152" s="131" t="s"/>
    </row>
    <row r="153" spans="1:28">
      <c r="A153" s="130" t="s"/>
      <c r="B153" s="131" t="s"/>
      <c r="C153" s="132" t="s"/>
      <c r="D153" s="130" t="s"/>
      <c r="E153" s="130" t="s"/>
      <c r="F153" s="130" t="s"/>
      <c r="G153" s="133" t="s"/>
      <c r="H153" s="133" t="s"/>
      <c r="I153" s="134" t="s"/>
      <c r="J153" s="134" t="s"/>
      <c r="K153" s="131" t="s"/>
      <c r="L153" s="131" t="s"/>
      <c r="M153" s="131" t="s"/>
      <c r="N153" s="131" t="s"/>
      <c r="O153" s="131" t="s"/>
      <c r="P153" s="131" t="s"/>
      <c r="Q153" s="131" t="s"/>
      <c r="R153" s="131" t="s"/>
      <c r="S153" s="131" t="s"/>
      <c r="T153" s="131" t="s"/>
      <c r="U153" s="131" t="s"/>
      <c r="V153" s="131" t="s"/>
      <c r="W153" s="131" t="s"/>
      <c r="X153" s="131" t="s"/>
      <c r="Y153" s="131" t="s"/>
      <c r="Z153" s="131" t="s"/>
      <c r="AA153" s="131" t="s"/>
      <c r="AB153" s="131" t="s"/>
    </row>
    <row r="154" spans="1:28">
      <c r="A154" s="130" t="s"/>
      <c r="B154" s="131" t="s"/>
      <c r="C154" s="132" t="s"/>
      <c r="D154" s="130" t="s"/>
      <c r="E154" s="130" t="s"/>
      <c r="F154" s="130" t="s"/>
      <c r="G154" s="133" t="s"/>
      <c r="H154" s="133" t="s"/>
      <c r="I154" s="134" t="s"/>
      <c r="J154" s="134" t="s"/>
      <c r="K154" s="131" t="s"/>
      <c r="L154" s="131" t="s"/>
      <c r="M154" s="131" t="s"/>
      <c r="N154" s="131" t="s"/>
      <c r="O154" s="131" t="s"/>
      <c r="P154" s="131" t="s"/>
      <c r="Q154" s="131" t="s"/>
      <c r="R154" s="131" t="s"/>
      <c r="S154" s="131" t="s"/>
      <c r="T154" s="131" t="s"/>
      <c r="U154" s="131" t="s"/>
      <c r="V154" s="131" t="s"/>
      <c r="W154" s="131" t="s"/>
      <c r="X154" s="131" t="s"/>
      <c r="Y154" s="131" t="s"/>
      <c r="Z154" s="131" t="s"/>
      <c r="AA154" s="131" t="s"/>
      <c r="AB154" s="131" t="s"/>
    </row>
    <row r="155" spans="1:28">
      <c r="A155" s="130" t="s"/>
      <c r="B155" s="131" t="s"/>
      <c r="C155" s="132" t="s"/>
      <c r="D155" s="130" t="s"/>
      <c r="E155" s="130" t="s"/>
      <c r="F155" s="130" t="s"/>
      <c r="G155" s="133" t="s"/>
      <c r="H155" s="133" t="s"/>
      <c r="I155" s="134" t="s"/>
      <c r="J155" s="134" t="s"/>
      <c r="K155" s="131" t="s"/>
      <c r="L155" s="131" t="s"/>
      <c r="M155" s="131" t="s"/>
      <c r="N155" s="131" t="s"/>
      <c r="O155" s="131" t="s"/>
      <c r="P155" s="131" t="s"/>
      <c r="Q155" s="131" t="s"/>
      <c r="R155" s="131" t="s"/>
      <c r="S155" s="131" t="s"/>
      <c r="T155" s="131" t="s"/>
      <c r="U155" s="131" t="s"/>
      <c r="V155" s="131" t="s"/>
      <c r="W155" s="131" t="s"/>
      <c r="X155" s="131" t="s"/>
      <c r="Y155" s="131" t="s"/>
      <c r="Z155" s="131" t="s"/>
      <c r="AA155" s="131" t="s"/>
      <c r="AB155" s="131" t="s"/>
    </row>
    <row r="156" spans="1:28">
      <c r="A156" s="130" t="s"/>
      <c r="B156" s="131" t="s"/>
      <c r="C156" s="132" t="s"/>
      <c r="D156" s="130" t="s"/>
      <c r="E156" s="130" t="s"/>
      <c r="F156" s="130" t="s"/>
      <c r="G156" s="133" t="s"/>
      <c r="H156" s="133" t="s"/>
      <c r="I156" s="134" t="s"/>
      <c r="J156" s="134" t="s"/>
      <c r="K156" s="131" t="s"/>
      <c r="L156" s="131" t="s"/>
      <c r="M156" s="131" t="s"/>
      <c r="N156" s="131" t="s"/>
      <c r="O156" s="131" t="s"/>
      <c r="P156" s="131" t="s"/>
      <c r="Q156" s="131" t="s"/>
      <c r="R156" s="131" t="s"/>
      <c r="S156" s="131" t="s"/>
      <c r="T156" s="131" t="s"/>
      <c r="U156" s="131" t="s"/>
      <c r="V156" s="131" t="s"/>
      <c r="W156" s="131" t="s"/>
      <c r="X156" s="131" t="s"/>
      <c r="Y156" s="131" t="s"/>
      <c r="Z156" s="131" t="s"/>
      <c r="AA156" s="131" t="s"/>
      <c r="AB156" s="131" t="s"/>
    </row>
    <row r="157" spans="1:28">
      <c r="A157" s="130" t="s"/>
      <c r="B157" s="131" t="s"/>
      <c r="C157" s="132" t="s"/>
      <c r="D157" s="130" t="s"/>
      <c r="E157" s="130" t="s"/>
      <c r="F157" s="130" t="s"/>
      <c r="G157" s="133" t="s"/>
      <c r="H157" s="133" t="s"/>
      <c r="I157" s="134" t="s"/>
      <c r="J157" s="134" t="s"/>
      <c r="K157" s="131" t="s"/>
      <c r="L157" s="131" t="s"/>
      <c r="M157" s="131" t="s"/>
      <c r="N157" s="131" t="s"/>
      <c r="O157" s="131" t="s"/>
      <c r="P157" s="131" t="s"/>
      <c r="Q157" s="131" t="s"/>
      <c r="R157" s="131" t="s"/>
      <c r="S157" s="131" t="s"/>
      <c r="T157" s="131" t="s"/>
      <c r="U157" s="131" t="s"/>
      <c r="V157" s="131" t="s"/>
      <c r="W157" s="131" t="s"/>
      <c r="X157" s="131" t="s"/>
      <c r="Y157" s="131" t="s"/>
      <c r="Z157" s="131" t="s"/>
      <c r="AA157" s="131" t="s"/>
      <c r="AB157" s="131" t="s"/>
    </row>
    <row r="158" spans="1:28">
      <c r="A158" s="130" t="s"/>
      <c r="B158" s="131" t="s"/>
      <c r="C158" s="132" t="s"/>
      <c r="D158" s="130" t="s"/>
      <c r="E158" s="130" t="s"/>
      <c r="F158" s="130" t="s"/>
      <c r="G158" s="133" t="s"/>
      <c r="H158" s="133" t="s"/>
      <c r="I158" s="134" t="s"/>
      <c r="J158" s="134" t="s"/>
      <c r="K158" s="131" t="s"/>
      <c r="L158" s="131" t="s"/>
      <c r="M158" s="131" t="s"/>
      <c r="N158" s="131" t="s"/>
      <c r="O158" s="131" t="s"/>
      <c r="P158" s="131" t="s"/>
      <c r="Q158" s="131" t="s"/>
      <c r="R158" s="131" t="s"/>
      <c r="S158" s="131" t="s"/>
      <c r="T158" s="131" t="s"/>
      <c r="U158" s="131" t="s"/>
      <c r="V158" s="131" t="s"/>
      <c r="W158" s="131" t="s"/>
      <c r="X158" s="131" t="s"/>
      <c r="Y158" s="131" t="s"/>
      <c r="Z158" s="131" t="s"/>
      <c r="AA158" s="131" t="s"/>
      <c r="AB158" s="131" t="s"/>
    </row>
    <row r="159" spans="1:28">
      <c r="A159" s="130" t="s"/>
      <c r="B159" s="131" t="s"/>
      <c r="C159" s="132" t="s"/>
      <c r="D159" s="130" t="s"/>
      <c r="E159" s="130" t="s"/>
      <c r="F159" s="130" t="s"/>
      <c r="G159" s="133" t="s"/>
      <c r="H159" s="133" t="s"/>
      <c r="I159" s="134" t="s"/>
      <c r="J159" s="134" t="s"/>
      <c r="K159" s="131" t="s"/>
      <c r="L159" s="131" t="s"/>
      <c r="M159" s="131" t="s"/>
      <c r="N159" s="131" t="s"/>
      <c r="O159" s="131" t="s"/>
      <c r="P159" s="131" t="s"/>
      <c r="Q159" s="131" t="s"/>
      <c r="R159" s="131" t="s"/>
      <c r="S159" s="131" t="s"/>
      <c r="T159" s="131" t="s"/>
      <c r="U159" s="131" t="s"/>
      <c r="V159" s="131" t="s"/>
      <c r="W159" s="131" t="s"/>
      <c r="X159" s="131" t="s"/>
      <c r="Y159" s="131" t="s"/>
      <c r="Z159" s="131" t="s"/>
      <c r="AA159" s="131" t="s"/>
      <c r="AB159" s="131" t="s"/>
    </row>
    <row r="160" spans="1:28">
      <c r="A160" s="130" t="s"/>
      <c r="B160" s="131" t="s"/>
      <c r="C160" s="132" t="s"/>
      <c r="D160" s="130" t="s"/>
      <c r="E160" s="130" t="s"/>
      <c r="F160" s="130" t="s"/>
      <c r="G160" s="133" t="s"/>
      <c r="H160" s="133" t="s"/>
      <c r="I160" s="134" t="s"/>
      <c r="J160" s="134" t="s"/>
      <c r="K160" s="131" t="s"/>
      <c r="L160" s="131" t="s"/>
      <c r="M160" s="131" t="s"/>
      <c r="N160" s="131" t="s"/>
      <c r="O160" s="131" t="s"/>
      <c r="P160" s="131" t="s"/>
      <c r="Q160" s="131" t="s"/>
      <c r="R160" s="131" t="s"/>
      <c r="S160" s="131" t="s"/>
      <c r="T160" s="131" t="s"/>
      <c r="U160" s="131" t="s"/>
      <c r="V160" s="131" t="s"/>
      <c r="W160" s="131" t="s"/>
      <c r="X160" s="131" t="s"/>
      <c r="Y160" s="131" t="s"/>
      <c r="Z160" s="131" t="s"/>
      <c r="AA160" s="131" t="s"/>
      <c r="AB160" s="131" t="s"/>
    </row>
    <row r="161" spans="1:28">
      <c r="A161" s="130" t="s"/>
      <c r="B161" s="131" t="s"/>
      <c r="C161" s="132" t="s"/>
      <c r="D161" s="130" t="s"/>
      <c r="E161" s="130" t="s"/>
      <c r="F161" s="130" t="s"/>
      <c r="G161" s="133" t="s"/>
      <c r="H161" s="133" t="s"/>
      <c r="I161" s="134" t="s"/>
      <c r="J161" s="134" t="s"/>
      <c r="K161" s="131" t="s"/>
      <c r="L161" s="131" t="s"/>
      <c r="M161" s="131" t="s"/>
      <c r="N161" s="131" t="s"/>
      <c r="O161" s="131" t="s"/>
      <c r="P161" s="131" t="s"/>
      <c r="Q161" s="131" t="s"/>
      <c r="R161" s="131" t="s"/>
      <c r="S161" s="131" t="s"/>
      <c r="T161" s="131" t="s"/>
      <c r="U161" s="131" t="s"/>
      <c r="V161" s="131" t="s"/>
      <c r="W161" s="131" t="s"/>
      <c r="X161" s="131" t="s"/>
      <c r="Y161" s="131" t="s"/>
      <c r="Z161" s="131" t="s"/>
      <c r="AA161" s="131" t="s"/>
      <c r="AB161" s="131" t="s"/>
    </row>
    <row r="162" spans="1:28">
      <c r="A162" s="130" t="s"/>
      <c r="B162" s="131" t="s"/>
      <c r="C162" s="132" t="s"/>
      <c r="D162" s="130" t="s"/>
      <c r="E162" s="130" t="s"/>
      <c r="F162" s="130" t="s"/>
      <c r="G162" s="133" t="s"/>
      <c r="H162" s="133" t="s"/>
      <c r="I162" s="134" t="s"/>
      <c r="J162" s="134" t="s"/>
      <c r="K162" s="131" t="s"/>
      <c r="L162" s="131" t="s"/>
      <c r="M162" s="131" t="s"/>
      <c r="N162" s="131" t="s"/>
      <c r="O162" s="131" t="s"/>
      <c r="P162" s="131" t="s"/>
      <c r="Q162" s="131" t="s"/>
      <c r="R162" s="131" t="s"/>
      <c r="S162" s="131" t="s"/>
      <c r="T162" s="131" t="s"/>
      <c r="U162" s="131" t="s"/>
      <c r="V162" s="131" t="s"/>
      <c r="W162" s="131" t="s"/>
      <c r="X162" s="131" t="s"/>
      <c r="Y162" s="131" t="s"/>
      <c r="Z162" s="131" t="s"/>
      <c r="AA162" s="131" t="s"/>
      <c r="AB162" s="131" t="s"/>
    </row>
    <row r="163" spans="1:28">
      <c r="A163" s="130" t="s"/>
      <c r="B163" s="131" t="s"/>
      <c r="C163" s="132" t="s"/>
      <c r="D163" s="130" t="s"/>
      <c r="E163" s="130" t="s"/>
      <c r="F163" s="130" t="s"/>
      <c r="G163" s="133" t="s"/>
      <c r="H163" s="133" t="s"/>
      <c r="I163" s="134" t="s"/>
      <c r="J163" s="134" t="s"/>
      <c r="K163" s="131" t="s"/>
      <c r="L163" s="131" t="s"/>
      <c r="M163" s="131" t="s"/>
      <c r="N163" s="131" t="s"/>
      <c r="O163" s="131" t="s"/>
      <c r="P163" s="131" t="s"/>
      <c r="Q163" s="131" t="s"/>
      <c r="R163" s="131" t="s"/>
      <c r="S163" s="131" t="s"/>
      <c r="T163" s="131" t="s"/>
      <c r="U163" s="131" t="s"/>
      <c r="V163" s="131" t="s"/>
      <c r="W163" s="131" t="s"/>
      <c r="X163" s="131" t="s"/>
      <c r="Y163" s="131" t="s"/>
      <c r="Z163" s="131" t="s"/>
      <c r="AA163" s="131" t="s"/>
      <c r="AB163" s="131" t="s"/>
    </row>
    <row r="164" spans="1:28">
      <c r="A164" s="130" t="s"/>
      <c r="B164" s="131" t="s"/>
      <c r="C164" s="132" t="s"/>
      <c r="D164" s="130" t="s"/>
      <c r="E164" s="130" t="s"/>
      <c r="F164" s="130" t="s"/>
      <c r="G164" s="133" t="s"/>
      <c r="H164" s="133" t="s"/>
      <c r="I164" s="134" t="s"/>
      <c r="J164" s="134" t="s"/>
      <c r="K164" s="131" t="s"/>
      <c r="L164" s="131" t="s"/>
      <c r="M164" s="131" t="s"/>
      <c r="N164" s="131" t="s"/>
      <c r="O164" s="131" t="s"/>
      <c r="P164" s="131" t="s"/>
      <c r="Q164" s="131" t="s"/>
      <c r="R164" s="131" t="s"/>
      <c r="S164" s="131" t="s"/>
      <c r="T164" s="131" t="s"/>
      <c r="U164" s="131" t="s"/>
      <c r="V164" s="131" t="s"/>
      <c r="W164" s="131" t="s"/>
      <c r="X164" s="131" t="s"/>
      <c r="Y164" s="131" t="s"/>
      <c r="Z164" s="131" t="s"/>
      <c r="AA164" s="131" t="s"/>
      <c r="AB164" s="131" t="s"/>
    </row>
    <row r="165" spans="1:28">
      <c r="A165" s="130" t="s"/>
      <c r="B165" s="131" t="s"/>
      <c r="C165" s="132" t="s"/>
      <c r="D165" s="130" t="s"/>
      <c r="E165" s="130" t="s"/>
      <c r="F165" s="130" t="s"/>
      <c r="G165" s="133" t="s"/>
      <c r="H165" s="133" t="s"/>
      <c r="I165" s="134" t="s"/>
      <c r="J165" s="134" t="s"/>
      <c r="K165" s="131" t="s"/>
      <c r="L165" s="131" t="s"/>
      <c r="M165" s="131" t="s"/>
      <c r="N165" s="131" t="s"/>
      <c r="O165" s="131" t="s"/>
      <c r="P165" s="131" t="s"/>
      <c r="Q165" s="131" t="s"/>
      <c r="R165" s="131" t="s"/>
      <c r="S165" s="131" t="s"/>
      <c r="T165" s="131" t="s"/>
      <c r="U165" s="131" t="s"/>
      <c r="V165" s="131" t="s"/>
      <c r="W165" s="131" t="s"/>
      <c r="X165" s="131" t="s"/>
      <c r="Y165" s="131" t="s"/>
      <c r="Z165" s="131" t="s"/>
      <c r="AA165" s="131" t="s"/>
      <c r="AB165" s="131" t="s"/>
    </row>
    <row r="166" spans="1:28">
      <c r="A166" s="130" t="s"/>
      <c r="B166" s="131" t="s"/>
      <c r="C166" s="132" t="s"/>
      <c r="D166" s="130" t="s"/>
      <c r="E166" s="130" t="s"/>
      <c r="F166" s="130" t="s"/>
      <c r="G166" s="133" t="s"/>
      <c r="H166" s="133" t="s"/>
      <c r="I166" s="134" t="s"/>
      <c r="J166" s="134" t="s"/>
      <c r="K166" s="131" t="s"/>
      <c r="L166" s="131" t="s"/>
      <c r="M166" s="131" t="s"/>
      <c r="N166" s="131" t="s"/>
      <c r="O166" s="131" t="s"/>
      <c r="P166" s="131" t="s"/>
      <c r="Q166" s="131" t="s"/>
      <c r="R166" s="131" t="s"/>
      <c r="S166" s="131" t="s"/>
      <c r="T166" s="131" t="s"/>
      <c r="U166" s="131" t="s"/>
      <c r="V166" s="131" t="s"/>
      <c r="W166" s="131" t="s"/>
      <c r="X166" s="131" t="s"/>
      <c r="Y166" s="131" t="s"/>
      <c r="Z166" s="131" t="s"/>
      <c r="AA166" s="131" t="s"/>
      <c r="AB166" s="131" t="s"/>
    </row>
    <row r="167" spans="1:28">
      <c r="A167" s="130" t="s"/>
      <c r="B167" s="131" t="s"/>
      <c r="C167" s="132" t="s"/>
      <c r="D167" s="130" t="s"/>
      <c r="E167" s="130" t="s"/>
      <c r="F167" s="130" t="s"/>
      <c r="G167" s="133" t="s"/>
      <c r="H167" s="133" t="s"/>
      <c r="I167" s="134" t="s"/>
      <c r="J167" s="134" t="s"/>
      <c r="K167" s="131" t="s"/>
      <c r="L167" s="131" t="s"/>
      <c r="M167" s="131" t="s"/>
      <c r="N167" s="131" t="s"/>
      <c r="O167" s="131" t="s"/>
      <c r="P167" s="131" t="s"/>
      <c r="Q167" s="131" t="s"/>
      <c r="R167" s="131" t="s"/>
      <c r="S167" s="131" t="s"/>
      <c r="T167" s="131" t="s"/>
      <c r="U167" s="131" t="s"/>
      <c r="V167" s="131" t="s"/>
      <c r="W167" s="131" t="s"/>
      <c r="X167" s="131" t="s"/>
      <c r="Y167" s="131" t="s"/>
      <c r="Z167" s="131" t="s"/>
      <c r="AA167" s="131" t="s"/>
      <c r="AB167" s="131" t="s"/>
    </row>
    <row r="168" spans="1:28">
      <c r="A168" s="130" t="s"/>
      <c r="B168" s="131" t="s"/>
      <c r="C168" s="132" t="s"/>
      <c r="D168" s="130" t="s"/>
      <c r="E168" s="130" t="s"/>
      <c r="F168" s="130" t="s"/>
      <c r="G168" s="133" t="s"/>
      <c r="H168" s="133" t="s"/>
      <c r="I168" s="134" t="s"/>
      <c r="J168" s="134" t="s"/>
      <c r="K168" s="131" t="s"/>
      <c r="L168" s="131" t="s"/>
      <c r="M168" s="131" t="s"/>
      <c r="N168" s="131" t="s"/>
      <c r="O168" s="131" t="s"/>
      <c r="P168" s="131" t="s"/>
      <c r="Q168" s="131" t="s"/>
      <c r="R168" s="131" t="s"/>
      <c r="S168" s="131" t="s"/>
      <c r="T168" s="131" t="s"/>
      <c r="U168" s="131" t="s"/>
      <c r="V168" s="131" t="s"/>
      <c r="W168" s="131" t="s"/>
      <c r="X168" s="131" t="s"/>
      <c r="Y168" s="131" t="s"/>
      <c r="Z168" s="131" t="s"/>
      <c r="AA168" s="131" t="s"/>
      <c r="AB168" s="131" t="s"/>
    </row>
    <row r="169" spans="1:28">
      <c r="A169" s="130" t="s"/>
      <c r="B169" s="131" t="s"/>
      <c r="C169" s="132" t="s"/>
      <c r="D169" s="130" t="s"/>
      <c r="E169" s="130" t="s"/>
      <c r="F169" s="130" t="s"/>
      <c r="G169" s="133" t="s"/>
      <c r="H169" s="133" t="s"/>
      <c r="I169" s="134" t="s"/>
      <c r="J169" s="134" t="s"/>
      <c r="K169" s="131" t="s"/>
      <c r="L169" s="131" t="s"/>
      <c r="M169" s="131" t="s"/>
      <c r="N169" s="131" t="s"/>
      <c r="O169" s="131" t="s"/>
      <c r="P169" s="131" t="s"/>
      <c r="Q169" s="131" t="s"/>
      <c r="R169" s="131" t="s"/>
      <c r="S169" s="131" t="s"/>
      <c r="T169" s="131" t="s"/>
      <c r="U169" s="131" t="s"/>
      <c r="V169" s="131" t="s"/>
      <c r="W169" s="131" t="s"/>
      <c r="X169" s="131" t="s"/>
      <c r="Y169" s="131" t="s"/>
      <c r="Z169" s="131" t="s"/>
      <c r="AA169" s="131" t="s"/>
      <c r="AB169" s="131" t="s"/>
    </row>
    <row r="170" spans="1:28">
      <c r="A170" s="130" t="s"/>
      <c r="B170" s="131" t="s"/>
      <c r="C170" s="132" t="s"/>
      <c r="D170" s="130" t="s"/>
      <c r="E170" s="130" t="s"/>
      <c r="F170" s="130" t="s"/>
      <c r="G170" s="133" t="s"/>
      <c r="H170" s="133" t="s"/>
      <c r="I170" s="134" t="s"/>
      <c r="J170" s="134" t="s"/>
      <c r="K170" s="131" t="s"/>
      <c r="L170" s="131" t="s"/>
      <c r="M170" s="131" t="s"/>
      <c r="N170" s="131" t="s"/>
      <c r="O170" s="131" t="s"/>
      <c r="P170" s="131" t="s"/>
      <c r="Q170" s="131" t="s"/>
      <c r="R170" s="131" t="s"/>
      <c r="S170" s="131" t="s"/>
      <c r="T170" s="131" t="s"/>
      <c r="U170" s="131" t="s"/>
      <c r="V170" s="131" t="s"/>
      <c r="W170" s="131" t="s"/>
      <c r="X170" s="131" t="s"/>
      <c r="Y170" s="131" t="s"/>
      <c r="Z170" s="131" t="s"/>
      <c r="AA170" s="131" t="s"/>
      <c r="AB170" s="131" t="s"/>
    </row>
    <row r="171" spans="1:28">
      <c r="A171" s="130" t="s"/>
      <c r="B171" s="131" t="s"/>
      <c r="C171" s="132" t="s"/>
      <c r="D171" s="130" t="s"/>
      <c r="E171" s="130" t="s"/>
      <c r="F171" s="130" t="s"/>
      <c r="G171" s="133" t="s"/>
      <c r="H171" s="133" t="s"/>
      <c r="I171" s="134" t="s"/>
      <c r="J171" s="134" t="s"/>
      <c r="K171" s="131" t="s"/>
      <c r="L171" s="131" t="s"/>
      <c r="M171" s="131" t="s"/>
      <c r="N171" s="131" t="s"/>
      <c r="O171" s="131" t="s"/>
      <c r="P171" s="131" t="s"/>
      <c r="Q171" s="131" t="s"/>
      <c r="R171" s="131" t="s"/>
      <c r="S171" s="131" t="s"/>
      <c r="T171" s="131" t="s"/>
      <c r="U171" s="131" t="s"/>
      <c r="V171" s="131" t="s"/>
      <c r="W171" s="131" t="s"/>
      <c r="X171" s="131" t="s"/>
      <c r="Y171" s="131" t="s"/>
      <c r="Z171" s="131" t="s"/>
      <c r="AA171" s="131" t="s"/>
      <c r="AB171" s="131" t="s"/>
    </row>
    <row r="172" spans="1:28">
      <c r="A172" s="130" t="s"/>
      <c r="B172" s="131" t="s"/>
      <c r="C172" s="132" t="s"/>
      <c r="D172" s="130" t="s"/>
      <c r="E172" s="130" t="s"/>
      <c r="F172" s="130" t="s"/>
      <c r="G172" s="133" t="s"/>
      <c r="H172" s="133" t="s"/>
      <c r="I172" s="134" t="s"/>
      <c r="J172" s="134" t="s"/>
      <c r="K172" s="131" t="s"/>
      <c r="L172" s="131" t="s"/>
      <c r="M172" s="131" t="s"/>
      <c r="N172" s="131" t="s"/>
      <c r="O172" s="131" t="s"/>
      <c r="P172" s="131" t="s"/>
      <c r="Q172" s="131" t="s"/>
      <c r="R172" s="131" t="s"/>
      <c r="S172" s="131" t="s"/>
      <c r="T172" s="131" t="s"/>
      <c r="U172" s="131" t="s"/>
      <c r="V172" s="131" t="s"/>
      <c r="W172" s="131" t="s"/>
      <c r="X172" s="131" t="s"/>
      <c r="Y172" s="131" t="s"/>
      <c r="Z172" s="131" t="s"/>
      <c r="AA172" s="131" t="s"/>
      <c r="AB172" s="131" t="s"/>
    </row>
    <row r="173" spans="1:28">
      <c r="A173" s="130" t="s"/>
      <c r="B173" s="131" t="s"/>
      <c r="C173" s="132" t="s"/>
      <c r="D173" s="130" t="s"/>
      <c r="E173" s="130" t="s"/>
      <c r="F173" s="130" t="s"/>
      <c r="G173" s="133" t="s"/>
      <c r="H173" s="133" t="s"/>
      <c r="I173" s="134" t="s"/>
      <c r="J173" s="134" t="s"/>
      <c r="K173" s="131" t="s"/>
      <c r="L173" s="131" t="s"/>
      <c r="M173" s="131" t="s"/>
      <c r="N173" s="131" t="s"/>
      <c r="O173" s="131" t="s"/>
      <c r="P173" s="131" t="s"/>
      <c r="Q173" s="131" t="s"/>
      <c r="R173" s="131" t="s"/>
      <c r="S173" s="131" t="s"/>
      <c r="T173" s="131" t="s"/>
      <c r="U173" s="131" t="s"/>
      <c r="V173" s="131" t="s"/>
      <c r="W173" s="131" t="s"/>
      <c r="X173" s="131" t="s"/>
      <c r="Y173" s="131" t="s"/>
      <c r="Z173" s="131" t="s"/>
      <c r="AA173" s="131" t="s"/>
      <c r="AB173" s="131" t="s"/>
    </row>
    <row r="174" spans="1:28">
      <c r="A174" s="130" t="s"/>
      <c r="B174" s="131" t="s"/>
      <c r="C174" s="132" t="s"/>
      <c r="D174" s="130" t="s"/>
      <c r="E174" s="130" t="s"/>
      <c r="F174" s="130" t="s"/>
      <c r="G174" s="133" t="s"/>
      <c r="H174" s="133" t="s"/>
      <c r="I174" s="134" t="s"/>
      <c r="J174" s="134" t="s"/>
      <c r="K174" s="131" t="s"/>
      <c r="L174" s="131" t="s"/>
      <c r="M174" s="131" t="s"/>
      <c r="N174" s="131" t="s"/>
      <c r="O174" s="131" t="s"/>
      <c r="P174" s="131" t="s"/>
      <c r="Q174" s="131" t="s"/>
      <c r="R174" s="131" t="s"/>
      <c r="S174" s="131" t="s"/>
      <c r="T174" s="131" t="s"/>
      <c r="U174" s="131" t="s"/>
      <c r="V174" s="131" t="s"/>
      <c r="W174" s="131" t="s"/>
      <c r="X174" s="131" t="s"/>
      <c r="Y174" s="131" t="s"/>
      <c r="Z174" s="131" t="s"/>
      <c r="AA174" s="131" t="s"/>
      <c r="AB174" s="131" t="s"/>
    </row>
    <row r="175" spans="1:28">
      <c r="A175" s="130" t="s"/>
      <c r="B175" s="131" t="s"/>
      <c r="C175" s="132" t="s"/>
      <c r="D175" s="130" t="s"/>
      <c r="E175" s="130" t="s"/>
      <c r="F175" s="130" t="s"/>
      <c r="G175" s="133" t="s"/>
      <c r="H175" s="133" t="s"/>
      <c r="I175" s="134" t="s"/>
      <c r="J175" s="134" t="s"/>
      <c r="K175" s="131" t="s"/>
      <c r="L175" s="131" t="s"/>
      <c r="M175" s="131" t="s"/>
      <c r="N175" s="131" t="s"/>
      <c r="O175" s="131" t="s"/>
      <c r="P175" s="131" t="s"/>
      <c r="Q175" s="131" t="s"/>
      <c r="R175" s="131" t="s"/>
      <c r="S175" s="131" t="s"/>
      <c r="T175" s="131" t="s"/>
      <c r="U175" s="131" t="s"/>
      <c r="V175" s="131" t="s"/>
      <c r="W175" s="131" t="s"/>
      <c r="X175" s="131" t="s"/>
      <c r="Y175" s="131" t="s"/>
      <c r="Z175" s="131" t="s"/>
      <c r="AA175" s="131" t="s"/>
      <c r="AB175" s="131" t="s"/>
    </row>
    <row r="176" spans="1:28">
      <c r="A176" s="130" t="s"/>
      <c r="B176" s="131" t="s"/>
      <c r="C176" s="132" t="s"/>
      <c r="D176" s="130" t="s"/>
      <c r="E176" s="130" t="s"/>
      <c r="F176" s="130" t="s"/>
      <c r="G176" s="133" t="s"/>
      <c r="H176" s="133" t="s"/>
      <c r="I176" s="134" t="s"/>
      <c r="J176" s="134" t="s"/>
      <c r="K176" s="131" t="s"/>
      <c r="L176" s="131" t="s"/>
      <c r="M176" s="131" t="s"/>
      <c r="N176" s="131" t="s"/>
      <c r="O176" s="131" t="s"/>
      <c r="P176" s="131" t="s"/>
      <c r="Q176" s="131" t="s"/>
      <c r="R176" s="131" t="s"/>
      <c r="S176" s="131" t="s"/>
      <c r="T176" s="131" t="s"/>
      <c r="U176" s="131" t="s"/>
      <c r="V176" s="131" t="s"/>
      <c r="W176" s="131" t="s"/>
      <c r="X176" s="131" t="s"/>
      <c r="Y176" s="131" t="s"/>
      <c r="Z176" s="131" t="s"/>
      <c r="AA176" s="131" t="s"/>
      <c r="AB176" s="131" t="s"/>
    </row>
    <row r="177" spans="1:28">
      <c r="A177" s="130" t="s"/>
      <c r="B177" s="131" t="s"/>
      <c r="C177" s="132" t="s"/>
      <c r="D177" s="130" t="s"/>
      <c r="E177" s="130" t="s"/>
      <c r="F177" s="130" t="s"/>
      <c r="G177" s="133" t="s"/>
      <c r="H177" s="133" t="s"/>
      <c r="I177" s="134" t="s"/>
      <c r="J177" s="134" t="s"/>
      <c r="K177" s="131" t="s"/>
      <c r="L177" s="131" t="s"/>
      <c r="M177" s="131" t="s"/>
      <c r="N177" s="131" t="s"/>
      <c r="O177" s="131" t="s"/>
      <c r="P177" s="131" t="s"/>
      <c r="Q177" s="131" t="s"/>
      <c r="R177" s="131" t="s"/>
      <c r="S177" s="131" t="s"/>
      <c r="T177" s="131" t="s"/>
      <c r="U177" s="131" t="s"/>
      <c r="V177" s="131" t="s"/>
      <c r="W177" s="131" t="s"/>
      <c r="X177" s="131" t="s"/>
      <c r="Y177" s="131" t="s"/>
      <c r="Z177" s="131" t="s"/>
      <c r="AA177" s="131" t="s"/>
      <c r="AB177" s="131" t="s"/>
    </row>
    <row r="178" spans="1:28">
      <c r="A178" s="130" t="s"/>
      <c r="B178" s="131" t="s"/>
      <c r="C178" s="132" t="s"/>
      <c r="D178" s="130" t="s"/>
      <c r="E178" s="130" t="s"/>
      <c r="F178" s="130" t="s"/>
      <c r="G178" s="133" t="s"/>
      <c r="H178" s="133" t="s"/>
      <c r="I178" s="134" t="s"/>
      <c r="J178" s="134" t="s"/>
      <c r="K178" s="131" t="s"/>
      <c r="L178" s="131" t="s"/>
      <c r="M178" s="131" t="s"/>
      <c r="N178" s="131" t="s"/>
      <c r="O178" s="131" t="s"/>
      <c r="P178" s="131" t="s"/>
      <c r="Q178" s="131" t="s"/>
      <c r="R178" s="131" t="s"/>
      <c r="S178" s="131" t="s"/>
      <c r="T178" s="131" t="s"/>
      <c r="U178" s="131" t="s"/>
      <c r="V178" s="131" t="s"/>
      <c r="W178" s="131" t="s"/>
      <c r="X178" s="131" t="s"/>
      <c r="Y178" s="131" t="s"/>
      <c r="Z178" s="131" t="s"/>
      <c r="AA178" s="131" t="s"/>
      <c r="AB178" s="131" t="s"/>
    </row>
    <row r="179" spans="1:28">
      <c r="A179" s="130" t="s"/>
      <c r="B179" s="131" t="s"/>
      <c r="C179" s="132" t="s"/>
      <c r="D179" s="130" t="s"/>
      <c r="E179" s="130" t="s"/>
      <c r="F179" s="130" t="s"/>
      <c r="G179" s="133" t="s"/>
      <c r="H179" s="133" t="s"/>
      <c r="I179" s="134" t="s"/>
      <c r="J179" s="134" t="s"/>
      <c r="K179" s="131" t="s"/>
      <c r="L179" s="131" t="s"/>
      <c r="M179" s="131" t="s"/>
      <c r="N179" s="131" t="s"/>
      <c r="O179" s="131" t="s"/>
      <c r="P179" s="131" t="s"/>
      <c r="Q179" s="131" t="s"/>
      <c r="R179" s="131" t="s"/>
      <c r="S179" s="131" t="s"/>
      <c r="T179" s="131" t="s"/>
      <c r="U179" s="131" t="s"/>
      <c r="V179" s="131" t="s"/>
      <c r="W179" s="131" t="s"/>
      <c r="X179" s="131" t="s"/>
      <c r="Y179" s="131" t="s"/>
      <c r="Z179" s="131" t="s"/>
      <c r="AA179" s="131" t="s"/>
      <c r="AB179" s="131" t="s"/>
    </row>
    <row r="180" spans="1:28">
      <c r="A180" s="130" t="s"/>
      <c r="B180" s="131" t="s"/>
      <c r="C180" s="132" t="s"/>
      <c r="D180" s="130" t="s"/>
      <c r="E180" s="130" t="s"/>
      <c r="F180" s="130" t="s"/>
      <c r="G180" s="133" t="s"/>
      <c r="H180" s="133" t="s"/>
      <c r="I180" s="134" t="s"/>
      <c r="J180" s="134" t="s"/>
      <c r="K180" s="131" t="s"/>
      <c r="L180" s="131" t="s"/>
      <c r="M180" s="131" t="s"/>
      <c r="N180" s="131" t="s"/>
      <c r="O180" s="131" t="s"/>
      <c r="P180" s="131" t="s"/>
      <c r="Q180" s="131" t="s"/>
      <c r="R180" s="131" t="s"/>
      <c r="S180" s="131" t="s"/>
      <c r="T180" s="131" t="s"/>
      <c r="U180" s="131" t="s"/>
      <c r="V180" s="131" t="s"/>
      <c r="W180" s="131" t="s"/>
      <c r="X180" s="131" t="s"/>
      <c r="Y180" s="131" t="s"/>
      <c r="Z180" s="131" t="s"/>
      <c r="AA180" s="131" t="s"/>
      <c r="AB180" s="131" t="s"/>
    </row>
    <row r="181" spans="1:28">
      <c r="A181" s="130" t="s"/>
      <c r="B181" s="131" t="s"/>
      <c r="C181" s="132" t="s"/>
      <c r="D181" s="130" t="s"/>
      <c r="E181" s="130" t="s"/>
      <c r="F181" s="130" t="s"/>
      <c r="G181" s="133" t="s"/>
      <c r="H181" s="133" t="s"/>
      <c r="I181" s="134" t="s"/>
      <c r="J181" s="134" t="s"/>
      <c r="K181" s="131" t="s"/>
      <c r="L181" s="131" t="s"/>
      <c r="M181" s="131" t="s"/>
      <c r="N181" s="131" t="s"/>
      <c r="O181" s="131" t="s"/>
      <c r="P181" s="131" t="s"/>
      <c r="Q181" s="131" t="s"/>
      <c r="R181" s="131" t="s"/>
      <c r="S181" s="131" t="s"/>
      <c r="T181" s="131" t="s"/>
      <c r="U181" s="131" t="s"/>
      <c r="V181" s="131" t="s"/>
      <c r="W181" s="131" t="s"/>
      <c r="X181" s="131" t="s"/>
      <c r="Y181" s="131" t="s"/>
      <c r="Z181" s="131" t="s"/>
      <c r="AA181" s="131" t="s"/>
      <c r="AB181" s="131" t="s"/>
    </row>
    <row r="182" spans="1:28">
      <c r="A182" s="130" t="s"/>
      <c r="B182" s="131" t="s"/>
      <c r="C182" s="132" t="s"/>
      <c r="D182" s="130" t="s"/>
      <c r="E182" s="130" t="s"/>
      <c r="F182" s="130" t="s"/>
      <c r="G182" s="133" t="s"/>
      <c r="H182" s="133" t="s"/>
      <c r="I182" s="134" t="s"/>
      <c r="J182" s="134" t="s"/>
      <c r="K182" s="131" t="s"/>
      <c r="L182" s="131" t="s"/>
      <c r="M182" s="131" t="s"/>
      <c r="N182" s="131" t="s"/>
      <c r="O182" s="131" t="s"/>
      <c r="P182" s="131" t="s"/>
      <c r="Q182" s="131" t="s"/>
      <c r="R182" s="131" t="s"/>
      <c r="S182" s="131" t="s"/>
      <c r="T182" s="131" t="s"/>
      <c r="U182" s="131" t="s"/>
      <c r="V182" s="131" t="s"/>
      <c r="W182" s="131" t="s"/>
      <c r="X182" s="131" t="s"/>
      <c r="Y182" s="131" t="s"/>
      <c r="Z182" s="131" t="s"/>
      <c r="AA182" s="131" t="s"/>
      <c r="AB182" s="131" t="s"/>
    </row>
    <row r="183" spans="1:28">
      <c r="A183" s="130" t="s"/>
      <c r="B183" s="131" t="s"/>
      <c r="C183" s="132" t="s"/>
      <c r="D183" s="130" t="s"/>
      <c r="E183" s="130" t="s"/>
      <c r="F183" s="130" t="s"/>
      <c r="G183" s="133" t="s"/>
      <c r="H183" s="133" t="s"/>
      <c r="I183" s="134" t="s"/>
      <c r="J183" s="134" t="s"/>
      <c r="K183" s="131" t="s"/>
      <c r="L183" s="131" t="s"/>
      <c r="M183" s="131" t="s"/>
      <c r="N183" s="131" t="s"/>
      <c r="O183" s="131" t="s"/>
      <c r="P183" s="131" t="s"/>
      <c r="Q183" s="131" t="s"/>
      <c r="R183" s="131" t="s"/>
      <c r="S183" s="131" t="s"/>
      <c r="T183" s="131" t="s"/>
      <c r="U183" s="131" t="s"/>
      <c r="V183" s="131" t="s"/>
      <c r="W183" s="131" t="s"/>
      <c r="X183" s="131" t="s"/>
      <c r="Y183" s="131" t="s"/>
      <c r="Z183" s="131" t="s"/>
      <c r="AA183" s="131" t="s"/>
      <c r="AB183" s="131" t="s"/>
    </row>
    <row r="184" spans="1:28">
      <c r="A184" s="130" t="s"/>
      <c r="B184" s="131" t="s"/>
      <c r="C184" s="132" t="s"/>
      <c r="D184" s="130" t="s"/>
      <c r="E184" s="130" t="s"/>
      <c r="F184" s="130" t="s"/>
      <c r="G184" s="133" t="s"/>
      <c r="H184" s="133" t="s"/>
      <c r="I184" s="134" t="s"/>
      <c r="J184" s="134" t="s"/>
      <c r="K184" s="131" t="s"/>
      <c r="L184" s="131" t="s"/>
      <c r="M184" s="131" t="s"/>
      <c r="N184" s="131" t="s"/>
      <c r="O184" s="131" t="s"/>
      <c r="P184" s="131" t="s"/>
      <c r="Q184" s="131" t="s"/>
      <c r="R184" s="131" t="s"/>
      <c r="S184" s="131" t="s"/>
      <c r="T184" s="131" t="s"/>
      <c r="U184" s="131" t="s"/>
      <c r="V184" s="131" t="s"/>
      <c r="W184" s="131" t="s"/>
      <c r="X184" s="131" t="s"/>
      <c r="Y184" s="131" t="s"/>
      <c r="Z184" s="131" t="s"/>
      <c r="AA184" s="131" t="s"/>
      <c r="AB184" s="131" t="s"/>
    </row>
    <row r="185" spans="1:28">
      <c r="A185" s="130" t="s"/>
      <c r="B185" s="131" t="s"/>
      <c r="C185" s="132" t="s"/>
      <c r="D185" s="130" t="s"/>
      <c r="E185" s="130" t="s"/>
      <c r="F185" s="130" t="s"/>
      <c r="G185" s="133" t="s"/>
      <c r="H185" s="133" t="s"/>
      <c r="I185" s="134" t="s"/>
      <c r="J185" s="134" t="s"/>
      <c r="K185" s="131" t="s"/>
      <c r="L185" s="131" t="s"/>
      <c r="M185" s="131" t="s"/>
      <c r="N185" s="131" t="s"/>
      <c r="O185" s="131" t="s"/>
      <c r="P185" s="131" t="s"/>
      <c r="Q185" s="131" t="s"/>
      <c r="R185" s="131" t="s"/>
      <c r="S185" s="131" t="s"/>
      <c r="T185" s="131" t="s"/>
      <c r="U185" s="131" t="s"/>
      <c r="V185" s="131" t="s"/>
      <c r="W185" s="131" t="s"/>
      <c r="X185" s="131" t="s"/>
      <c r="Y185" s="131" t="s"/>
      <c r="Z185" s="131" t="s"/>
      <c r="AA185" s="131" t="s"/>
      <c r="AB185" s="131" t="s"/>
    </row>
    <row r="186" spans="1:28">
      <c r="A186" s="130" t="s"/>
      <c r="B186" s="131" t="s"/>
      <c r="C186" s="132" t="s"/>
      <c r="D186" s="130" t="s"/>
      <c r="E186" s="130" t="s"/>
      <c r="F186" s="130" t="s"/>
      <c r="G186" s="133" t="s"/>
      <c r="H186" s="133" t="s"/>
      <c r="I186" s="134" t="s"/>
      <c r="J186" s="134" t="s"/>
      <c r="K186" s="131" t="s"/>
      <c r="L186" s="131" t="s"/>
      <c r="M186" s="131" t="s"/>
      <c r="N186" s="131" t="s"/>
      <c r="O186" s="131" t="s"/>
      <c r="P186" s="131" t="s"/>
      <c r="Q186" s="131" t="s"/>
      <c r="R186" s="131" t="s"/>
      <c r="S186" s="131" t="s"/>
      <c r="T186" s="131" t="s"/>
      <c r="U186" s="131" t="s"/>
      <c r="V186" s="131" t="s"/>
      <c r="W186" s="131" t="s"/>
      <c r="X186" s="131" t="s"/>
      <c r="Y186" s="131" t="s"/>
      <c r="Z186" s="131" t="s"/>
      <c r="AA186" s="131" t="s"/>
      <c r="AB186" s="131" t="s"/>
    </row>
    <row r="187" spans="1:28">
      <c r="A187" s="130" t="s"/>
      <c r="B187" s="131" t="s"/>
      <c r="C187" s="132" t="s"/>
      <c r="D187" s="130" t="s"/>
      <c r="E187" s="130" t="s"/>
      <c r="F187" s="130" t="s"/>
      <c r="G187" s="133" t="s"/>
      <c r="H187" s="133" t="s"/>
      <c r="I187" s="134" t="s"/>
      <c r="J187" s="134" t="s"/>
      <c r="K187" s="131" t="s"/>
      <c r="L187" s="131" t="s"/>
      <c r="M187" s="131" t="s"/>
      <c r="N187" s="131" t="s"/>
      <c r="O187" s="131" t="s"/>
      <c r="P187" s="131" t="s"/>
      <c r="Q187" s="131" t="s"/>
      <c r="R187" s="131" t="s"/>
      <c r="S187" s="131" t="s"/>
      <c r="T187" s="131" t="s"/>
      <c r="U187" s="131" t="s"/>
      <c r="V187" s="131" t="s"/>
      <c r="W187" s="131" t="s"/>
      <c r="X187" s="131" t="s"/>
      <c r="Y187" s="131" t="s"/>
      <c r="Z187" s="131" t="s"/>
      <c r="AA187" s="131" t="s"/>
      <c r="AB187" s="131" t="s"/>
    </row>
    <row r="188" spans="1:28">
      <c r="A188" s="130" t="s"/>
      <c r="B188" s="131" t="s"/>
      <c r="C188" s="132" t="s"/>
      <c r="D188" s="130" t="s"/>
      <c r="E188" s="130" t="s"/>
      <c r="F188" s="130" t="s"/>
      <c r="G188" s="133" t="s"/>
      <c r="H188" s="133" t="s"/>
      <c r="I188" s="134" t="s"/>
      <c r="J188" s="134" t="s"/>
      <c r="K188" s="131" t="s"/>
      <c r="L188" s="131" t="s"/>
      <c r="M188" s="131" t="s"/>
      <c r="N188" s="131" t="s"/>
      <c r="O188" s="131" t="s"/>
      <c r="P188" s="131" t="s"/>
      <c r="Q188" s="131" t="s"/>
      <c r="R188" s="131" t="s"/>
      <c r="S188" s="131" t="s"/>
      <c r="T188" s="131" t="s"/>
      <c r="U188" s="131" t="s"/>
      <c r="V188" s="131" t="s"/>
      <c r="W188" s="131" t="s"/>
      <c r="X188" s="131" t="s"/>
      <c r="Y188" s="131" t="s"/>
      <c r="Z188" s="131" t="s"/>
      <c r="AA188" s="131" t="s"/>
      <c r="AB188" s="131" t="s"/>
    </row>
    <row r="189" spans="1:28">
      <c r="A189" s="130" t="s"/>
      <c r="B189" s="131" t="s"/>
      <c r="C189" s="132" t="s"/>
      <c r="D189" s="130" t="s"/>
      <c r="E189" s="130" t="s"/>
      <c r="F189" s="130" t="s"/>
      <c r="G189" s="133" t="s"/>
      <c r="H189" s="133" t="s"/>
      <c r="I189" s="134" t="s"/>
      <c r="J189" s="134" t="s"/>
      <c r="K189" s="131" t="s"/>
      <c r="L189" s="131" t="s"/>
      <c r="M189" s="131" t="s"/>
      <c r="N189" s="131" t="s"/>
      <c r="O189" s="131" t="s"/>
      <c r="P189" s="131" t="s"/>
      <c r="Q189" s="131" t="s"/>
      <c r="R189" s="131" t="s"/>
      <c r="S189" s="131" t="s"/>
      <c r="T189" s="131" t="s"/>
      <c r="U189" s="131" t="s"/>
      <c r="V189" s="131" t="s"/>
      <c r="W189" s="131" t="s"/>
      <c r="X189" s="131" t="s"/>
      <c r="Y189" s="131" t="s"/>
      <c r="Z189" s="131" t="s"/>
      <c r="AA189" s="131" t="s"/>
      <c r="AB189" s="131" t="s"/>
    </row>
    <row r="190" spans="1:28">
      <c r="A190" s="130" t="s"/>
      <c r="B190" s="131" t="s"/>
      <c r="C190" s="132" t="s"/>
      <c r="D190" s="130" t="s"/>
      <c r="E190" s="130" t="s"/>
      <c r="F190" s="130" t="s"/>
      <c r="G190" s="133" t="s"/>
      <c r="H190" s="133" t="s"/>
      <c r="I190" s="134" t="s"/>
      <c r="J190" s="134" t="s"/>
      <c r="K190" s="131" t="s"/>
      <c r="L190" s="131" t="s"/>
      <c r="M190" s="131" t="s"/>
      <c r="N190" s="131" t="s"/>
      <c r="O190" s="131" t="s"/>
      <c r="P190" s="131" t="s"/>
      <c r="Q190" s="131" t="s"/>
      <c r="R190" s="131" t="s"/>
      <c r="S190" s="131" t="s"/>
      <c r="T190" s="131" t="s"/>
      <c r="U190" s="131" t="s"/>
      <c r="V190" s="131" t="s"/>
      <c r="W190" s="131" t="s"/>
      <c r="X190" s="131" t="s"/>
      <c r="Y190" s="131" t="s"/>
      <c r="Z190" s="131" t="s"/>
      <c r="AA190" s="131" t="s"/>
      <c r="AB190" s="131" t="s"/>
    </row>
    <row r="191" spans="1:28">
      <c r="A191" s="130" t="s"/>
      <c r="B191" s="131" t="s"/>
      <c r="C191" s="132" t="s"/>
      <c r="D191" s="130" t="s"/>
      <c r="E191" s="130" t="s"/>
      <c r="F191" s="130" t="s"/>
      <c r="G191" s="133" t="s"/>
      <c r="H191" s="133" t="s"/>
      <c r="I191" s="134" t="s"/>
      <c r="J191" s="134" t="s"/>
      <c r="K191" s="131" t="s"/>
      <c r="L191" s="131" t="s"/>
      <c r="M191" s="131" t="s"/>
      <c r="N191" s="131" t="s"/>
      <c r="O191" s="131" t="s"/>
      <c r="P191" s="131" t="s"/>
      <c r="Q191" s="131" t="s"/>
      <c r="R191" s="131" t="s"/>
      <c r="S191" s="131" t="s"/>
      <c r="T191" s="131" t="s"/>
      <c r="U191" s="131" t="s"/>
      <c r="V191" s="131" t="s"/>
      <c r="W191" s="131" t="s"/>
      <c r="X191" s="131" t="s"/>
      <c r="Y191" s="131" t="s"/>
      <c r="Z191" s="131" t="s"/>
      <c r="AA191" s="131" t="s"/>
      <c r="AB191" s="131" t="s"/>
    </row>
    <row r="192" spans="1:28">
      <c r="A192" s="130" t="s"/>
      <c r="B192" s="131" t="s"/>
      <c r="C192" s="132" t="s"/>
      <c r="D192" s="130" t="s"/>
      <c r="E192" s="130" t="s"/>
      <c r="F192" s="130" t="s"/>
      <c r="G192" s="133" t="s"/>
      <c r="H192" s="133" t="s"/>
      <c r="I192" s="134" t="s"/>
      <c r="J192" s="134" t="s"/>
      <c r="K192" s="131" t="s"/>
      <c r="L192" s="131" t="s"/>
      <c r="M192" s="131" t="s"/>
      <c r="N192" s="131" t="s"/>
      <c r="O192" s="131" t="s"/>
      <c r="P192" s="131" t="s"/>
      <c r="Q192" s="131" t="s"/>
      <c r="R192" s="131" t="s"/>
      <c r="S192" s="131" t="s"/>
      <c r="T192" s="131" t="s"/>
      <c r="U192" s="131" t="s"/>
      <c r="V192" s="131" t="s"/>
      <c r="W192" s="131" t="s"/>
      <c r="X192" s="131" t="s"/>
      <c r="Y192" s="131" t="s"/>
      <c r="Z192" s="131" t="s"/>
      <c r="AA192" s="131" t="s"/>
      <c r="AB192" s="131" t="s"/>
    </row>
    <row r="193" spans="1:28">
      <c r="A193" s="130" t="s"/>
      <c r="B193" s="131" t="s"/>
      <c r="C193" s="132" t="s"/>
      <c r="D193" s="130" t="s"/>
      <c r="E193" s="130" t="s"/>
      <c r="F193" s="130" t="s"/>
      <c r="G193" s="133" t="s"/>
      <c r="H193" s="133" t="s"/>
      <c r="I193" s="134" t="s"/>
      <c r="J193" s="134" t="s"/>
      <c r="K193" s="131" t="s"/>
      <c r="L193" s="131" t="s"/>
      <c r="M193" s="131" t="s"/>
      <c r="N193" s="131" t="s"/>
      <c r="O193" s="131" t="s"/>
      <c r="P193" s="131" t="s"/>
      <c r="Q193" s="131" t="s"/>
      <c r="R193" s="131" t="s"/>
      <c r="S193" s="131" t="s"/>
      <c r="T193" s="131" t="s"/>
      <c r="U193" s="131" t="s"/>
      <c r="V193" s="131" t="s"/>
      <c r="W193" s="131" t="s"/>
      <c r="X193" s="131" t="s"/>
      <c r="Y193" s="131" t="s"/>
      <c r="Z193" s="131" t="s"/>
      <c r="AA193" s="131" t="s"/>
      <c r="AB193" s="131" t="s"/>
    </row>
    <row r="194" spans="1:28">
      <c r="A194" s="130" t="s"/>
      <c r="B194" s="131" t="s"/>
      <c r="C194" s="132" t="s"/>
      <c r="D194" s="130" t="s"/>
      <c r="E194" s="130" t="s"/>
      <c r="F194" s="130" t="s"/>
      <c r="G194" s="133" t="s"/>
      <c r="H194" s="133" t="s"/>
      <c r="I194" s="134" t="s"/>
      <c r="J194" s="134" t="s"/>
      <c r="K194" s="131" t="s"/>
      <c r="L194" s="131" t="s"/>
      <c r="M194" s="131" t="s"/>
      <c r="N194" s="131" t="s"/>
      <c r="O194" s="131" t="s"/>
      <c r="P194" s="131" t="s"/>
      <c r="Q194" s="131" t="s"/>
      <c r="R194" s="131" t="s"/>
      <c r="S194" s="131" t="s"/>
      <c r="T194" s="131" t="s"/>
      <c r="U194" s="131" t="s"/>
      <c r="V194" s="131" t="s"/>
      <c r="W194" s="131" t="s"/>
      <c r="X194" s="131" t="s"/>
      <c r="Y194" s="131" t="s"/>
      <c r="Z194" s="131" t="s"/>
      <c r="AA194" s="131" t="s"/>
      <c r="AB194" s="131" t="s"/>
    </row>
    <row r="195" spans="1:28">
      <c r="A195" s="130" t="s"/>
      <c r="B195" s="131" t="s"/>
      <c r="C195" s="132" t="s"/>
      <c r="D195" s="130" t="s"/>
      <c r="E195" s="130" t="s"/>
      <c r="F195" s="130" t="s"/>
      <c r="G195" s="133" t="s"/>
      <c r="H195" s="133" t="s"/>
      <c r="I195" s="134" t="s"/>
      <c r="J195" s="134" t="s"/>
      <c r="K195" s="131" t="s"/>
      <c r="L195" s="131" t="s"/>
      <c r="M195" s="131" t="s"/>
      <c r="N195" s="131" t="s"/>
      <c r="O195" s="131" t="s"/>
      <c r="P195" s="131" t="s"/>
      <c r="Q195" s="131" t="s"/>
      <c r="R195" s="131" t="s"/>
      <c r="S195" s="131" t="s"/>
      <c r="T195" s="131" t="s"/>
      <c r="U195" s="131" t="s"/>
      <c r="V195" s="131" t="s"/>
      <c r="W195" s="131" t="s"/>
      <c r="X195" s="131" t="s"/>
      <c r="Y195" s="131" t="s"/>
      <c r="Z195" s="131" t="s"/>
      <c r="AA195" s="131" t="s"/>
      <c r="AB195" s="131" t="s"/>
    </row>
    <row r="196" spans="1:28">
      <c r="A196" s="130" t="s"/>
      <c r="B196" s="131" t="s"/>
      <c r="C196" s="132" t="s"/>
      <c r="D196" s="130" t="s"/>
      <c r="E196" s="130" t="s"/>
      <c r="F196" s="130" t="s"/>
      <c r="G196" s="133" t="s"/>
      <c r="H196" s="133" t="s"/>
      <c r="I196" s="134" t="s"/>
      <c r="J196" s="134" t="s"/>
      <c r="K196" s="131" t="s"/>
      <c r="L196" s="131" t="s"/>
      <c r="M196" s="131" t="s"/>
      <c r="N196" s="131" t="s"/>
      <c r="O196" s="131" t="s"/>
      <c r="P196" s="131" t="s"/>
      <c r="Q196" s="131" t="s"/>
      <c r="R196" s="131" t="s"/>
      <c r="S196" s="131" t="s"/>
      <c r="T196" s="131" t="s"/>
      <c r="U196" s="131" t="s"/>
      <c r="V196" s="131" t="s"/>
      <c r="W196" s="131" t="s"/>
      <c r="X196" s="131" t="s"/>
      <c r="Y196" s="131" t="s"/>
      <c r="Z196" s="131" t="s"/>
      <c r="AA196" s="131" t="s"/>
      <c r="AB196" s="131" t="s"/>
    </row>
    <row r="197" spans="1:28">
      <c r="A197" s="130" t="s"/>
      <c r="B197" s="131" t="s"/>
      <c r="C197" s="132" t="s"/>
      <c r="D197" s="130" t="s"/>
      <c r="E197" s="130" t="s"/>
      <c r="F197" s="130" t="s"/>
      <c r="G197" s="133" t="s"/>
      <c r="H197" s="133" t="s"/>
      <c r="I197" s="134" t="s"/>
      <c r="J197" s="134" t="s"/>
      <c r="K197" s="131" t="s"/>
      <c r="L197" s="131" t="s"/>
      <c r="M197" s="131" t="s"/>
      <c r="N197" s="131" t="s"/>
      <c r="O197" s="131" t="s"/>
      <c r="P197" s="131" t="s"/>
      <c r="Q197" s="131" t="s"/>
      <c r="R197" s="131" t="s"/>
      <c r="S197" s="131" t="s"/>
      <c r="T197" s="131" t="s"/>
      <c r="U197" s="131" t="s"/>
      <c r="V197" s="131" t="s"/>
      <c r="W197" s="131" t="s"/>
      <c r="X197" s="131" t="s"/>
      <c r="Y197" s="131" t="s"/>
      <c r="Z197" s="131" t="s"/>
      <c r="AA197" s="131" t="s"/>
      <c r="AB197" s="131" t="s"/>
    </row>
    <row r="198" spans="1:28">
      <c r="A198" s="130" t="s"/>
      <c r="B198" s="131" t="s"/>
      <c r="C198" s="132" t="s"/>
      <c r="D198" s="130" t="s"/>
      <c r="E198" s="130" t="s"/>
      <c r="F198" s="130" t="s"/>
      <c r="G198" s="133" t="s"/>
      <c r="H198" s="133" t="s"/>
      <c r="I198" s="134" t="s"/>
      <c r="J198" s="134" t="s"/>
      <c r="K198" s="131" t="s"/>
      <c r="L198" s="131" t="s"/>
      <c r="M198" s="131" t="s"/>
      <c r="N198" s="131" t="s"/>
      <c r="O198" s="131" t="s"/>
      <c r="P198" s="131" t="s"/>
      <c r="Q198" s="131" t="s"/>
      <c r="R198" s="131" t="s"/>
      <c r="S198" s="131" t="s"/>
      <c r="T198" s="131" t="s"/>
      <c r="U198" s="131" t="s"/>
      <c r="V198" s="131" t="s"/>
      <c r="W198" s="131" t="s"/>
      <c r="X198" s="131" t="s"/>
      <c r="Y198" s="131" t="s"/>
      <c r="Z198" s="131" t="s"/>
      <c r="AA198" s="131" t="s"/>
      <c r="AB198" s="131" t="s"/>
    </row>
    <row r="199" spans="1:28">
      <c r="A199" s="130" t="s"/>
      <c r="B199" s="131" t="s"/>
      <c r="C199" s="132" t="s"/>
      <c r="D199" s="130" t="s"/>
      <c r="E199" s="130" t="s"/>
      <c r="F199" s="130" t="s"/>
      <c r="G199" s="133" t="s"/>
      <c r="H199" s="133" t="s"/>
      <c r="I199" s="134" t="s"/>
      <c r="J199" s="134" t="s"/>
      <c r="K199" s="131" t="s"/>
      <c r="L199" s="131" t="s"/>
      <c r="M199" s="131" t="s"/>
      <c r="N199" s="131" t="s"/>
      <c r="O199" s="131" t="s"/>
      <c r="P199" s="131" t="s"/>
      <c r="Q199" s="131" t="s"/>
      <c r="R199" s="131" t="s"/>
      <c r="S199" s="131" t="s"/>
      <c r="T199" s="131" t="s"/>
      <c r="U199" s="131" t="s"/>
      <c r="V199" s="131" t="s"/>
      <c r="W199" s="131" t="s"/>
      <c r="X199" s="131" t="s"/>
      <c r="Y199" s="131" t="s"/>
      <c r="Z199" s="131" t="s"/>
      <c r="AA199" s="131" t="s"/>
      <c r="AB199" s="131" t="s"/>
    </row>
    <row r="200" spans="1:28">
      <c r="A200" s="130" t="s"/>
      <c r="B200" s="131" t="s"/>
      <c r="C200" s="132" t="s"/>
      <c r="D200" s="130" t="s"/>
      <c r="E200" s="130" t="s"/>
      <c r="F200" s="130" t="s"/>
      <c r="G200" s="133" t="s"/>
      <c r="H200" s="133" t="s"/>
      <c r="I200" s="134" t="s"/>
      <c r="J200" s="134" t="s"/>
      <c r="K200" s="131" t="s"/>
      <c r="L200" s="131" t="s"/>
      <c r="M200" s="131" t="s"/>
      <c r="N200" s="131" t="s"/>
      <c r="O200" s="131" t="s"/>
      <c r="P200" s="131" t="s"/>
      <c r="Q200" s="131" t="s"/>
      <c r="R200" s="131" t="s"/>
      <c r="S200" s="131" t="s"/>
      <c r="T200" s="131" t="s"/>
      <c r="U200" s="131" t="s"/>
      <c r="V200" s="131" t="s"/>
      <c r="W200" s="131" t="s"/>
      <c r="X200" s="131" t="s"/>
      <c r="Y200" s="131" t="s"/>
      <c r="Z200" s="131" t="s"/>
      <c r="AA200" s="131" t="s"/>
      <c r="AB200" s="131" t="s"/>
    </row>
  </sheetData>
  <mergeCells count="236">
    <mergeCell ref="K1:M1"/>
    <mergeCell ref="O1:Q1"/>
    <mergeCell ref="R1:T1"/>
    <mergeCell ref="V1:X1"/>
    <mergeCell ref="Y1:AA1"/>
    <mergeCell ref="A3:A5"/>
    <mergeCell ref="B3:B5"/>
    <mergeCell ref="C3:C5"/>
    <mergeCell ref="D3:D5"/>
    <mergeCell ref="E3:E5"/>
    <mergeCell ref="F3:F5"/>
    <mergeCell ref="G3:G5"/>
    <mergeCell ref="H3:H5"/>
    <mergeCell ref="I3:I5"/>
    <mergeCell ref="J3:J5"/>
    <mergeCell ref="K3:K5"/>
    <mergeCell ref="L3:L5"/>
    <mergeCell ref="M3:M5"/>
    <mergeCell ref="N3:N5"/>
    <mergeCell ref="O3:O5"/>
    <mergeCell ref="P3:P5"/>
    <mergeCell ref="Q3:Q5"/>
    <mergeCell ref="R3:R5"/>
    <mergeCell ref="S3:S5"/>
    <mergeCell ref="T3:T5"/>
    <mergeCell ref="AB3:AB5"/>
    <mergeCell ref="A6:A9"/>
    <mergeCell ref="B6:B9"/>
    <mergeCell ref="C6:C9"/>
    <mergeCell ref="D6:D9"/>
    <mergeCell ref="E6:E9"/>
    <mergeCell ref="F6:F9"/>
    <mergeCell ref="G6:G9"/>
    <mergeCell ref="H6:H9"/>
    <mergeCell ref="I6:I9"/>
    <mergeCell ref="J6:J9"/>
    <mergeCell ref="K6:K9"/>
    <mergeCell ref="L6:L9"/>
    <mergeCell ref="M6:M9"/>
    <mergeCell ref="N6:N9"/>
    <mergeCell ref="O6:O9"/>
    <mergeCell ref="P6:P9"/>
    <mergeCell ref="Q6:Q9"/>
    <mergeCell ref="R6:R9"/>
    <mergeCell ref="S6:S9"/>
    <mergeCell ref="T6:T9"/>
    <mergeCell ref="AB6:AB9"/>
    <mergeCell ref="A10:A15"/>
    <mergeCell ref="B10:B15"/>
    <mergeCell ref="C10:C15"/>
    <mergeCell ref="D10:D15"/>
    <mergeCell ref="E10:E15"/>
    <mergeCell ref="F10:F15"/>
    <mergeCell ref="H10:H15"/>
    <mergeCell ref="I10:I15"/>
    <mergeCell ref="J10:J15"/>
    <mergeCell ref="K10:K15"/>
    <mergeCell ref="L10:L15"/>
    <mergeCell ref="M10:M15"/>
    <mergeCell ref="N10:N15"/>
    <mergeCell ref="O10:O15"/>
    <mergeCell ref="P10:P15"/>
    <mergeCell ref="Q10:Q15"/>
    <mergeCell ref="R10:R15"/>
    <mergeCell ref="S10:S15"/>
    <mergeCell ref="T10:T15"/>
    <mergeCell ref="AB10:AB15"/>
    <mergeCell ref="A16:A21"/>
    <mergeCell ref="B16:B21"/>
    <mergeCell ref="C16:C21"/>
    <mergeCell ref="D16:D21"/>
    <mergeCell ref="E16:E21"/>
    <mergeCell ref="F16:F21"/>
    <mergeCell ref="G16:G21"/>
    <mergeCell ref="H16:H21"/>
    <mergeCell ref="I16:I21"/>
    <mergeCell ref="J16:J21"/>
    <mergeCell ref="K16:K21"/>
    <mergeCell ref="L16:L21"/>
    <mergeCell ref="M16:M21"/>
    <mergeCell ref="N16:N21"/>
    <mergeCell ref="O16:O21"/>
    <mergeCell ref="P16:P21"/>
    <mergeCell ref="Q16:Q21"/>
    <mergeCell ref="R16:R21"/>
    <mergeCell ref="S16:S21"/>
    <mergeCell ref="T16:T21"/>
    <mergeCell ref="AB16:AB21"/>
    <mergeCell ref="A22:A24"/>
    <mergeCell ref="B22:B24"/>
    <mergeCell ref="C22:C24"/>
    <mergeCell ref="D22:D24"/>
    <mergeCell ref="E22:E24"/>
    <mergeCell ref="F22:F24"/>
    <mergeCell ref="G22:G24"/>
    <mergeCell ref="H22:H24"/>
    <mergeCell ref="I22:I24"/>
    <mergeCell ref="J22:J24"/>
    <mergeCell ref="K22:K24"/>
    <mergeCell ref="L22:L24"/>
    <mergeCell ref="M22:M24"/>
    <mergeCell ref="N22:N24"/>
    <mergeCell ref="O22:O24"/>
    <mergeCell ref="P22:P24"/>
    <mergeCell ref="Q22:Q24"/>
    <mergeCell ref="R22:R24"/>
    <mergeCell ref="S22:S24"/>
    <mergeCell ref="T22:T24"/>
    <mergeCell ref="AB22:AB24"/>
    <mergeCell ref="A25:A27"/>
    <mergeCell ref="B25:B27"/>
    <mergeCell ref="C25:C27"/>
    <mergeCell ref="D25:D27"/>
    <mergeCell ref="E25:E27"/>
    <mergeCell ref="F25:F27"/>
    <mergeCell ref="G25:G27"/>
    <mergeCell ref="H25:H27"/>
    <mergeCell ref="I25:I27"/>
    <mergeCell ref="J25:J27"/>
    <mergeCell ref="K25:K27"/>
    <mergeCell ref="L25:L27"/>
    <mergeCell ref="M25:M27"/>
    <mergeCell ref="N25:N27"/>
    <mergeCell ref="O25:O27"/>
    <mergeCell ref="P25:P27"/>
    <mergeCell ref="Q25:Q27"/>
    <mergeCell ref="R25:R27"/>
    <mergeCell ref="S25:S27"/>
    <mergeCell ref="T25:T27"/>
    <mergeCell ref="AB25:AB27"/>
    <mergeCell ref="A28:A41"/>
    <mergeCell ref="B28:B41"/>
    <mergeCell ref="C28:C41"/>
    <mergeCell ref="D28:D41"/>
    <mergeCell ref="E28:E41"/>
    <mergeCell ref="F28:F41"/>
    <mergeCell ref="G28:G41"/>
    <mergeCell ref="H28:H41"/>
    <mergeCell ref="I28:I41"/>
    <mergeCell ref="J28:J41"/>
    <mergeCell ref="K28:K41"/>
    <mergeCell ref="L28:L41"/>
    <mergeCell ref="M28:M41"/>
    <mergeCell ref="N28:N41"/>
    <mergeCell ref="O28:O41"/>
    <mergeCell ref="P28:P41"/>
    <mergeCell ref="Q28:Q41"/>
    <mergeCell ref="R28:R41"/>
    <mergeCell ref="S28:S41"/>
    <mergeCell ref="T28:T41"/>
    <mergeCell ref="AB28:AB41"/>
    <mergeCell ref="A42:A45"/>
    <mergeCell ref="B42:B45"/>
    <mergeCell ref="C42:C45"/>
    <mergeCell ref="D42:D45"/>
    <mergeCell ref="E42:E45"/>
    <mergeCell ref="F42:F45"/>
    <mergeCell ref="G42:G45"/>
    <mergeCell ref="H42:H45"/>
    <mergeCell ref="I42:I45"/>
    <mergeCell ref="J42:J45"/>
    <mergeCell ref="K42:K45"/>
    <mergeCell ref="L42:L45"/>
    <mergeCell ref="M42:M45"/>
    <mergeCell ref="N42:N45"/>
    <mergeCell ref="O42:O45"/>
    <mergeCell ref="P42:P45"/>
    <mergeCell ref="Q42:Q45"/>
    <mergeCell ref="R42:R45"/>
    <mergeCell ref="S42:S45"/>
    <mergeCell ref="T42:T45"/>
    <mergeCell ref="AB42:AB45"/>
    <mergeCell ref="A46:A48"/>
    <mergeCell ref="B46:B48"/>
    <mergeCell ref="C46:C48"/>
    <mergeCell ref="D46:D48"/>
    <mergeCell ref="E46:E48"/>
    <mergeCell ref="F46:F48"/>
    <mergeCell ref="G46:G48"/>
    <mergeCell ref="H46:H48"/>
    <mergeCell ref="I46:I48"/>
    <mergeCell ref="J46:J48"/>
    <mergeCell ref="K46:K48"/>
    <mergeCell ref="L46:L48"/>
    <mergeCell ref="M46:M48"/>
    <mergeCell ref="N46:N48"/>
    <mergeCell ref="O46:O48"/>
    <mergeCell ref="P46:P48"/>
    <mergeCell ref="Q46:Q48"/>
    <mergeCell ref="R46:R48"/>
    <mergeCell ref="S46:S48"/>
    <mergeCell ref="T46:T48"/>
    <mergeCell ref="AB46:AB48"/>
    <mergeCell ref="A49:A51"/>
    <mergeCell ref="B49:B51"/>
    <mergeCell ref="C49:C51"/>
    <mergeCell ref="D49:D51"/>
    <mergeCell ref="E49:E51"/>
    <mergeCell ref="F49:F51"/>
    <mergeCell ref="G49:G51"/>
    <mergeCell ref="H49:H51"/>
    <mergeCell ref="I49:I51"/>
    <mergeCell ref="J49:J51"/>
    <mergeCell ref="K49:K51"/>
    <mergeCell ref="L49:L51"/>
    <mergeCell ref="M49:M51"/>
    <mergeCell ref="N49:N51"/>
    <mergeCell ref="O49:O51"/>
    <mergeCell ref="P49:P51"/>
    <mergeCell ref="Q49:Q51"/>
    <mergeCell ref="R49:R51"/>
    <mergeCell ref="S49:S51"/>
    <mergeCell ref="T49:T51"/>
    <mergeCell ref="AB49:AB51"/>
    <mergeCell ref="A52:A56"/>
    <mergeCell ref="B52:B56"/>
    <mergeCell ref="C52:C56"/>
    <mergeCell ref="D52:D56"/>
    <mergeCell ref="E52:E56"/>
    <mergeCell ref="F52:F56"/>
    <mergeCell ref="G52:G56"/>
    <mergeCell ref="H52:H56"/>
    <mergeCell ref="I52:I56"/>
    <mergeCell ref="J52:J56"/>
    <mergeCell ref="K52:K56"/>
    <mergeCell ref="L52:L56"/>
    <mergeCell ref="M52:M56"/>
    <mergeCell ref="N52:N56"/>
    <mergeCell ref="O52:O56"/>
    <mergeCell ref="P52:P56"/>
    <mergeCell ref="Q52:Q56"/>
    <mergeCell ref="R52:R56"/>
    <mergeCell ref="S52:S56"/>
    <mergeCell ref="T52:T56"/>
    <mergeCell ref="AB52:AB56"/>
    <mergeCell ref="G10:G15"/>
  </mergeCells>
</worksheet>
</file>

<file path=xl/worksheets/sheet8.xml><?xml version="1.0" encoding="utf-8"?>
<worksheet xmlns:r="http://schemas.openxmlformats.org/officeDocument/2006/relationships" xmlns="http://schemas.openxmlformats.org/spreadsheetml/2006/main">
  <sheetPr codeName="光伏电池工艺流程及生产设备mapping"/>
  <dimension ref="X200"/>
  <sheetViews>
    <sheetView showGridLines="false" workbookViewId="0"/>
  </sheetViews>
  <sheetFormatPr baseColWidth="13" defaultRowHeight="18" customHeight="true"/>
  <cols>
    <col min="1" max="1" width="9.71094" customWidth="true"/>
    <col min="2" max="2" width="9.71094" customWidth="true"/>
    <col min="3" max="3" width="3.71094" customWidth="true"/>
    <col min="4" max="9" width="9.71094" customWidth="true"/>
    <col min="10" max="10" width="4.71094" customWidth="true"/>
    <col min="11" max="13" width="11.7109" customWidth="true"/>
    <col min="14" max="14" width="7.71094" customWidth="true"/>
    <col min="15" max="15" width="18.7109" customWidth="true"/>
    <col min="16" max="16" width="4.71094" customWidth="true"/>
    <col min="17" max="23" width="16.7109" customWidth="true"/>
    <col min="24" max="24" width="16.7109" customWidth="true"/>
  </cols>
  <sheetData>
    <row r="1" spans="1:24">
      <c r="A1" s="234" t="s"/>
      <c r="B1" s="234" t="s"/>
      <c r="C1" s="234" t="s"/>
      <c r="D1" s="234" t="s"/>
      <c r="E1" s="234" t="s"/>
      <c r="F1" s="234" t="s"/>
      <c r="G1" s="234" t="s"/>
      <c r="H1" s="234" t="s"/>
      <c r="I1" s="234" t="s"/>
      <c r="J1" s="235" t="s"/>
      <c r="K1" s="236" t="s"/>
      <c r="L1" s="236" t="s"/>
      <c r="M1" s="237" t="s"/>
      <c r="N1" s="237" t="s"/>
      <c r="O1" s="238" t="s"/>
      <c r="P1" s="238" t="s"/>
      <c r="Q1" s="237" t="s"/>
      <c r="R1" s="239" t="s"/>
      <c r="S1" s="238" t="s"/>
      <c r="T1" s="237" t="s"/>
      <c r="U1" s="237" t="s"/>
      <c r="V1" s="238" t="s"/>
      <c r="W1" s="238" t="s"/>
      <c r="X1" s="240" t="s"/>
    </row>
    <row r="2" spans="1:24" ht="15" customHeight="true">
      <c r="A2" s="234" t="s"/>
      <c r="B2" s="237" t="s"/>
      <c r="C2" s="237" t="s"/>
      <c r="D2" s="241" t="s">
        <v>2579</v>
      </c>
      <c r="E2" s="242" t="s"/>
      <c r="F2" s="242" t="s"/>
      <c r="G2" s="242" t="s"/>
      <c r="H2" s="242" t="s"/>
      <c r="I2" s="242" t="s"/>
      <c r="J2" s="242" t="s"/>
      <c r="K2" s="242" t="s"/>
      <c r="L2" s="242" t="s"/>
      <c r="M2" s="242" t="s"/>
      <c r="N2" s="242" t="s"/>
      <c r="O2" s="242" t="s"/>
      <c r="P2" s="242" t="s"/>
      <c r="Q2" s="242" t="s"/>
      <c r="R2" s="242" t="s"/>
      <c r="S2" s="242" t="s"/>
      <c r="T2" s="242" t="s"/>
      <c r="U2" s="242" t="s"/>
      <c r="V2" s="242" t="s"/>
      <c r="W2" s="242" t="s"/>
      <c r="X2" s="243" t="s"/>
    </row>
    <row r="3" spans="1:24" ht="15" customHeight="true">
      <c r="A3" s="240" t="s"/>
      <c r="B3" s="244" t="s"/>
      <c r="C3" s="244" t="s"/>
      <c r="D3" s="244" t="s"/>
      <c r="E3" s="238" t="s"/>
      <c r="F3" s="245" t="s"/>
      <c r="G3" s="245" t="s"/>
      <c r="H3" s="244" t="s"/>
      <c r="I3" s="244" t="s"/>
      <c r="J3" s="244" t="s"/>
      <c r="K3" s="244" t="s"/>
      <c r="L3" s="244" t="s"/>
      <c r="M3" s="246" t="s"/>
      <c r="N3" s="244" t="s"/>
      <c r="O3" s="244" t="s"/>
      <c r="P3" s="244" t="s"/>
      <c r="Q3" s="244" t="s"/>
      <c r="R3" s="247" t="s"/>
      <c r="S3" s="244" t="s"/>
      <c r="T3" s="245" t="s"/>
      <c r="U3" s="245" t="s"/>
      <c r="V3" s="245" t="s"/>
      <c r="W3" s="245" t="s"/>
      <c r="X3" s="248" t="s"/>
    </row>
    <row r="4" spans="1:24" ht="15" customHeight="true">
      <c r="A4" s="240" t="s"/>
      <c r="B4" s="244" t="s"/>
      <c r="C4" s="244" t="s"/>
      <c r="D4" s="249" t="s">
        <v>2580</v>
      </c>
      <c r="E4" s="250" t="s"/>
      <c r="F4" s="250" t="s"/>
      <c r="G4" s="250" t="s"/>
      <c r="H4" s="250" t="s"/>
      <c r="I4" s="250" t="s"/>
      <c r="J4" s="244" t="s"/>
      <c r="K4" s="251" t="s">
        <v>2581</v>
      </c>
      <c r="N4" s="252" t="s"/>
      <c r="O4" s="253" t="s">
        <v>2582</v>
      </c>
      <c r="P4" s="244" t="s"/>
      <c r="Q4" s="253" t="s">
        <v>2583</v>
      </c>
      <c r="X4" s="254" t="s"/>
    </row>
    <row r="5" spans="1:24" ht="15" customHeight="true">
      <c r="A5" s="240" t="s"/>
      <c r="B5" s="244" t="s"/>
      <c r="C5" s="244" t="s"/>
      <c r="D5" s="244" t="s"/>
      <c r="E5" s="238" t="s"/>
      <c r="F5" s="244" t="s"/>
      <c r="G5" s="244" t="s"/>
      <c r="H5" s="244" t="s"/>
      <c r="I5" s="244" t="s"/>
      <c r="J5" s="244" t="s"/>
      <c r="K5" s="255" t="s"/>
      <c r="L5" s="255" t="s"/>
      <c r="M5" s="256" t="s"/>
      <c r="N5" s="255" t="s"/>
      <c r="O5" s="257" t="s"/>
      <c r="P5" s="244" t="s"/>
      <c r="Q5" s="244" t="s"/>
      <c r="R5" s="247" t="s"/>
      <c r="S5" s="244" t="s"/>
      <c r="T5" s="258" t="s"/>
      <c r="U5" s="258" t="s"/>
      <c r="V5" s="258" t="s"/>
      <c r="W5" s="258" t="s"/>
      <c r="X5" s="240" t="s"/>
    </row>
    <row r="6" spans="1:24" ht="15" customHeight="true">
      <c r="A6" s="240" t="s"/>
      <c r="B6" s="238" t="s"/>
      <c r="C6" s="238" t="s"/>
      <c r="D6" s="259" t="s">
        <v>2584</v>
      </c>
      <c r="E6" s="260" t="s"/>
      <c r="F6" s="261" t="s">
        <v>2585</v>
      </c>
      <c r="G6" s="262" t="s"/>
      <c r="H6" s="260" t="s"/>
      <c r="I6" s="260" t="s"/>
      <c r="J6" s="238" t="s"/>
      <c r="K6" s="256" t="s"/>
      <c r="L6" s="256" t="s"/>
      <c r="M6" s="263" t="s"/>
      <c r="N6" s="256" t="s"/>
      <c r="O6" s="264" t="s"/>
      <c r="P6" s="238" t="s"/>
      <c r="Q6" s="265" t="s">
        <v>2586</v>
      </c>
      <c r="R6" s="265" t="s">
        <v>2367</v>
      </c>
      <c r="S6" s="265" t="s">
        <v>2376</v>
      </c>
      <c r="T6" s="265" t="s">
        <v>2385</v>
      </c>
      <c r="U6" s="265" t="s">
        <v>2405</v>
      </c>
      <c r="V6" s="265" t="s">
        <v>2415</v>
      </c>
      <c r="W6" s="265" t="s">
        <v>2425</v>
      </c>
      <c r="X6" s="266" t="s"/>
    </row>
    <row r="7" spans="1:24" ht="15" customHeight="true">
      <c r="A7" s="248" t="s"/>
      <c r="B7" s="267" t="s"/>
      <c r="C7" s="267" t="s"/>
      <c r="D7" s="267" t="s"/>
      <c r="E7" s="267" t="s"/>
      <c r="F7" s="268" t="s"/>
      <c r="G7" s="268" t="s"/>
      <c r="H7" s="268" t="s"/>
      <c r="I7" s="268" t="s"/>
      <c r="J7" s="238" t="s"/>
      <c r="K7" s="256" t="s"/>
      <c r="L7" s="256" t="s"/>
      <c r="M7" s="256" t="s"/>
      <c r="N7" s="256" t="s"/>
      <c r="O7" s="269" t="s"/>
      <c r="P7" s="238" t="s"/>
      <c r="Q7" s="269" t="s"/>
      <c r="R7" s="269" t="s"/>
      <c r="S7" s="270" t="s">
        <v>2587</v>
      </c>
      <c r="T7" s="269" t="s"/>
      <c r="U7" s="269" t="s"/>
      <c r="V7" s="269" t="s"/>
      <c r="W7" s="269" t="s"/>
      <c r="X7" s="271" t="s"/>
    </row>
    <row r="8" spans="1:24" ht="19.5" customHeight="true">
      <c r="A8" s="248" t="s"/>
      <c r="B8" s="267" t="s"/>
      <c r="C8" s="267" t="s"/>
      <c r="D8" s="272" t="s"/>
      <c r="E8" s="273" t="s"/>
      <c r="F8" s="274" t="s"/>
      <c r="G8" s="274" t="s"/>
      <c r="H8" s="274" t="s"/>
      <c r="I8" s="274" t="s"/>
      <c r="J8" s="238" t="s"/>
      <c r="K8" s="275" t="s">
        <v>2588</v>
      </c>
      <c r="L8" s="11" t="s"/>
      <c r="M8" s="11" t="s"/>
      <c r="N8" s="264" t="s"/>
      <c r="O8" s="276" t="s">
        <v>2589</v>
      </c>
      <c r="P8" s="238" t="s"/>
      <c r="Q8" s="276" t="s">
        <v>2590</v>
      </c>
      <c r="R8" s="269" t="s"/>
      <c r="S8" s="276" t="s">
        <v>2590</v>
      </c>
      <c r="T8" s="277" t="s"/>
      <c r="U8" s="277" t="s"/>
      <c r="V8" s="277" t="s"/>
      <c r="W8" s="277" t="s"/>
      <c r="X8" s="278" t="s"/>
    </row>
    <row r="9" spans="1:24" ht="19.5" customHeight="true">
      <c r="A9" s="248" t="s"/>
      <c r="B9" s="267" t="s"/>
      <c r="C9" s="267" t="s"/>
      <c r="D9" s="267" t="s"/>
      <c r="E9" s="267" t="s"/>
      <c r="F9" s="268" t="s"/>
      <c r="G9" s="268" t="s"/>
      <c r="H9" s="268" t="s"/>
      <c r="I9" s="268" t="s"/>
      <c r="J9" s="238" t="s"/>
      <c r="K9" s="256" t="s"/>
      <c r="L9" s="256" t="s"/>
      <c r="M9" s="256" t="s"/>
      <c r="N9" s="256" t="s"/>
      <c r="O9" s="269" t="s"/>
      <c r="P9" s="238" t="s"/>
      <c r="Q9" s="269" t="s"/>
      <c r="R9" s="269" t="s"/>
      <c r="S9" s="269" t="s"/>
      <c r="T9" s="279" t="s"/>
      <c r="U9" s="279" t="s"/>
      <c r="V9" s="279" t="s"/>
      <c r="W9" s="279" t="s"/>
      <c r="X9" s="271" t="s"/>
    </row>
    <row r="10" spans="1:24" ht="19.5" customHeight="true">
      <c r="A10" s="248" t="s"/>
      <c r="B10" s="267" t="s"/>
      <c r="C10" s="267" t="s"/>
      <c r="D10" s="267" t="s"/>
      <c r="E10" s="267" t="s"/>
      <c r="F10" s="268" t="s"/>
      <c r="G10" s="268" t="s"/>
      <c r="H10" s="268" t="s"/>
      <c r="I10" s="268" t="s"/>
      <c r="J10" s="238" t="s"/>
      <c r="K10" s="280" t="s">
        <v>2591</v>
      </c>
      <c r="L10" s="11" t="s"/>
      <c r="M10" s="281" t="s"/>
      <c r="N10" s="282" t="s"/>
      <c r="O10" s="276" t="s">
        <v>2592</v>
      </c>
      <c r="P10" s="238" t="s"/>
      <c r="Q10" s="276" t="s">
        <v>2593</v>
      </c>
      <c r="R10" s="276" t="s">
        <v>2594</v>
      </c>
      <c r="S10" s="276" t="s">
        <v>2595</v>
      </c>
      <c r="T10" s="277" t="s"/>
      <c r="U10" s="277" t="s"/>
      <c r="V10" s="283" t="s">
        <v>2593</v>
      </c>
      <c r="W10" s="283" t="s">
        <v>2596</v>
      </c>
      <c r="X10" s="284" t="s"/>
    </row>
    <row r="11" spans="1:24" ht="19.5" customHeight="true">
      <c r="A11" s="248" t="s"/>
      <c r="B11" s="267" t="s"/>
      <c r="C11" s="267" t="s"/>
      <c r="D11" s="267" t="s"/>
      <c r="E11" s="267" t="s"/>
      <c r="F11" s="268" t="s"/>
      <c r="G11" s="268" t="s"/>
      <c r="H11" s="268" t="s"/>
      <c r="I11" s="268" t="s"/>
      <c r="J11" s="238" t="s"/>
      <c r="K11" s="256" t="s"/>
      <c r="L11" s="256" t="s"/>
      <c r="M11" s="256" t="s"/>
      <c r="N11" s="256" t="s"/>
      <c r="O11" s="269" t="s"/>
      <c r="P11" s="238" t="s"/>
      <c r="Q11" s="269" t="s"/>
      <c r="R11" s="269" t="s"/>
      <c r="S11" s="269" t="s"/>
      <c r="T11" s="269" t="s"/>
      <c r="U11" s="269" t="s"/>
      <c r="V11" s="269" t="s"/>
      <c r="W11" s="269" t="s"/>
      <c r="X11" s="271" t="s"/>
    </row>
    <row r="12" spans="1:24" ht="19.5" customHeight="true">
      <c r="A12" s="248" t="s"/>
      <c r="B12" s="267" t="s"/>
      <c r="C12" s="267" t="s"/>
      <c r="D12" s="267" t="s"/>
      <c r="E12" s="267" t="s"/>
      <c r="F12" s="268" t="s"/>
      <c r="G12" s="268" t="s"/>
      <c r="H12" s="268" t="s"/>
      <c r="I12" s="268" t="s"/>
      <c r="J12" s="238" t="s"/>
      <c r="K12" s="275" t="s">
        <v>2597</v>
      </c>
      <c r="L12" s="11" t="s"/>
      <c r="M12" s="11" t="s"/>
      <c r="N12" s="282" t="s"/>
      <c r="O12" s="269" t="s"/>
      <c r="P12" s="238" t="s"/>
      <c r="Q12" s="269" t="s"/>
      <c r="R12" s="269" t="s"/>
      <c r="S12" s="276" t="s">
        <v>2590</v>
      </c>
      <c r="T12" s="276" t="s">
        <v>2590</v>
      </c>
      <c r="U12" s="276" t="s">
        <v>2590</v>
      </c>
      <c r="V12" s="269" t="s"/>
      <c r="W12" s="269" t="s"/>
      <c r="X12" s="271" t="s"/>
    </row>
    <row r="13" spans="1:24" ht="19.5" customHeight="true">
      <c r="A13" s="248" t="s"/>
      <c r="B13" s="267" t="s"/>
      <c r="C13" s="267" t="s"/>
      <c r="D13" s="267" t="s"/>
      <c r="E13" s="267" t="s"/>
      <c r="F13" s="268" t="s"/>
      <c r="G13" s="268" t="s"/>
      <c r="H13" s="268" t="s"/>
      <c r="I13" s="268" t="s"/>
      <c r="J13" s="238" t="s"/>
      <c r="K13" s="282" t="s"/>
      <c r="L13" s="282" t="s"/>
      <c r="M13" s="282" t="s"/>
      <c r="N13" s="282" t="s"/>
      <c r="O13" s="269" t="s"/>
      <c r="P13" s="238" t="s"/>
      <c r="Q13" s="269" t="s"/>
      <c r="R13" s="269" t="s"/>
      <c r="S13" s="269" t="s"/>
      <c r="T13" s="269" t="s"/>
      <c r="U13" s="269" t="s"/>
      <c r="V13" s="269" t="s"/>
      <c r="W13" s="269" t="s"/>
      <c r="X13" s="271" t="s"/>
    </row>
    <row r="14" spans="1:24" ht="19.5" customHeight="true">
      <c r="A14" s="248" t="s"/>
      <c r="B14" s="267" t="s"/>
      <c r="C14" s="267" t="s"/>
      <c r="D14" s="267" t="s"/>
      <c r="E14" s="267" t="s"/>
      <c r="F14" s="268" t="s"/>
      <c r="G14" s="268" t="s"/>
      <c r="H14" s="268" t="s"/>
      <c r="I14" s="268" t="s"/>
      <c r="J14" s="238" t="s"/>
      <c r="K14" s="275" t="s">
        <v>2598</v>
      </c>
      <c r="L14" s="11" t="s"/>
      <c r="M14" s="11" t="s"/>
      <c r="N14" s="264" t="s"/>
      <c r="O14" s="276" t="s">
        <v>2599</v>
      </c>
      <c r="P14" s="238" t="s"/>
      <c r="Q14" s="269" t="s"/>
      <c r="R14" s="276" t="s">
        <v>2600</v>
      </c>
      <c r="S14" s="276" t="s">
        <v>2601</v>
      </c>
      <c r="T14" s="276" t="s">
        <v>2602</v>
      </c>
      <c r="U14" s="276" t="s">
        <v>2600</v>
      </c>
      <c r="V14" s="269" t="s"/>
      <c r="W14" s="269" t="s"/>
      <c r="X14" s="271" t="s"/>
    </row>
    <row r="15" spans="1:24" ht="19.5" customHeight="true">
      <c r="A15" s="248" t="s"/>
      <c r="B15" s="267" t="s"/>
      <c r="C15" s="267" t="s"/>
      <c r="D15" s="267" t="s"/>
      <c r="E15" s="267" t="s"/>
      <c r="F15" s="268" t="s"/>
      <c r="G15" s="268" t="s"/>
      <c r="H15" s="268" t="s"/>
      <c r="I15" s="268" t="s"/>
      <c r="J15" s="238" t="s"/>
      <c r="K15" s="256" t="s"/>
      <c r="L15" s="256" t="s"/>
      <c r="M15" s="256" t="s"/>
      <c r="N15" s="256" t="s"/>
      <c r="O15" s="269" t="s"/>
      <c r="P15" s="238" t="s"/>
      <c r="Q15" s="269" t="s"/>
      <c r="R15" s="269" t="s"/>
      <c r="S15" s="269" t="s"/>
      <c r="T15" s="269" t="s"/>
      <c r="U15" s="269" t="s"/>
      <c r="V15" s="269" t="s"/>
      <c r="W15" s="269" t="s"/>
      <c r="X15" s="271" t="s"/>
    </row>
    <row r="16" spans="1:24" ht="19.5" customHeight="true">
      <c r="A16" s="248" t="s"/>
      <c r="B16" s="267" t="s"/>
      <c r="C16" s="267" t="s"/>
      <c r="D16" s="267" t="s"/>
      <c r="E16" s="267" t="s"/>
      <c r="F16" s="268" t="s"/>
      <c r="G16" s="268" t="s"/>
      <c r="H16" s="268" t="s"/>
      <c r="I16" s="268" t="s"/>
      <c r="J16" s="238" t="s"/>
      <c r="K16" s="280" t="s">
        <v>2603</v>
      </c>
      <c r="L16" s="11" t="s"/>
      <c r="M16" s="281" t="s"/>
      <c r="N16" s="264" t="s"/>
      <c r="O16" s="269" t="s"/>
      <c r="P16" s="238" t="s"/>
      <c r="Q16" s="269" t="s"/>
      <c r="R16" s="269" t="s"/>
      <c r="S16" s="269" t="s"/>
      <c r="T16" s="277" t="s"/>
      <c r="U16" s="277" t="s"/>
      <c r="V16" s="277" t="s"/>
      <c r="W16" s="277" t="s"/>
      <c r="X16" s="278" t="s"/>
    </row>
    <row r="17" spans="1:24" ht="19.5" customHeight="true">
      <c r="A17" s="248" t="s"/>
      <c r="B17" s="267" t="s"/>
      <c r="C17" s="267" t="s"/>
      <c r="D17" s="267" t="s"/>
      <c r="E17" s="267" t="s"/>
      <c r="F17" s="268" t="s"/>
      <c r="G17" s="268" t="s"/>
      <c r="H17" s="268" t="s"/>
      <c r="I17" s="268" t="s"/>
      <c r="J17" s="238" t="s"/>
      <c r="K17" s="238" t="s"/>
      <c r="L17" s="238" t="s"/>
      <c r="M17" s="238" t="s"/>
      <c r="N17" s="238" t="s"/>
      <c r="O17" s="269" t="s"/>
      <c r="P17" s="238" t="s"/>
      <c r="Q17" s="269" t="s"/>
      <c r="R17" s="269" t="s"/>
      <c r="S17" s="269" t="s"/>
      <c r="T17" s="269" t="s"/>
      <c r="U17" s="269" t="s"/>
      <c r="V17" s="269" t="s"/>
      <c r="W17" s="269" t="s"/>
      <c r="X17" s="271" t="s"/>
    </row>
    <row r="18" spans="1:24" ht="19.5" customHeight="true">
      <c r="A18" s="248" t="s"/>
      <c r="B18" s="267" t="s"/>
      <c r="C18" s="267" t="s"/>
      <c r="D18" s="267" t="s"/>
      <c r="E18" s="267" t="s"/>
      <c r="F18" s="268" t="s"/>
      <c r="G18" s="268" t="s"/>
      <c r="H18" s="268" t="s"/>
      <c r="I18" s="268" t="s"/>
      <c r="J18" s="238" t="s"/>
      <c r="K18" s="280" t="s">
        <v>2604</v>
      </c>
      <c r="L18" s="11" t="s"/>
      <c r="M18" s="11" t="s"/>
      <c r="N18" s="264" t="s"/>
      <c r="O18" s="269" t="s"/>
      <c r="P18" s="238" t="s"/>
      <c r="Q18" s="269" t="s"/>
      <c r="R18" s="269" t="s"/>
      <c r="S18" s="276" t="s">
        <v>2590</v>
      </c>
      <c r="T18" s="276" t="s">
        <v>2590</v>
      </c>
      <c r="U18" s="269" t="s"/>
      <c r="V18" s="269" t="s"/>
      <c r="W18" s="276" t="s">
        <v>2590</v>
      </c>
      <c r="X18" s="285" t="s"/>
    </row>
    <row r="19" spans="1:24" ht="19.5" customHeight="true">
      <c r="A19" s="248" t="s"/>
      <c r="B19" s="267" t="s"/>
      <c r="C19" s="267" t="s"/>
      <c r="D19" s="267" t="s"/>
      <c r="E19" s="267" t="s"/>
      <c r="F19" s="268" t="s"/>
      <c r="G19" s="268" t="s"/>
      <c r="H19" s="268" t="s"/>
      <c r="I19" s="268" t="s"/>
      <c r="J19" s="238" t="s"/>
      <c r="K19" s="238" t="s"/>
      <c r="L19" s="238" t="s"/>
      <c r="M19" s="238" t="s"/>
      <c r="N19" s="238" t="s"/>
      <c r="O19" s="269" t="s"/>
      <c r="P19" s="238" t="s"/>
      <c r="Q19" s="269" t="s"/>
      <c r="R19" s="269" t="s"/>
      <c r="S19" s="269" t="s"/>
      <c r="T19" s="269" t="s"/>
      <c r="U19" s="269" t="s"/>
      <c r="V19" s="269" t="s"/>
      <c r="W19" s="269" t="s"/>
      <c r="X19" s="271" t="s"/>
    </row>
    <row r="20" spans="1:24" ht="19.5" customHeight="true">
      <c r="A20" s="248" t="s"/>
      <c r="B20" s="267" t="s"/>
      <c r="C20" s="267" t="s"/>
      <c r="D20" s="267" t="s"/>
      <c r="E20" s="267" t="s"/>
      <c r="F20" s="268" t="s"/>
      <c r="G20" s="268" t="s"/>
      <c r="H20" s="268" t="s"/>
      <c r="I20" s="268" t="s"/>
      <c r="J20" s="238" t="s"/>
      <c r="K20" s="280" t="s">
        <v>2605</v>
      </c>
      <c r="L20" s="11" t="s"/>
      <c r="M20" s="11" t="s"/>
      <c r="N20" s="264" t="s"/>
      <c r="O20" s="276" t="s">
        <v>2589</v>
      </c>
      <c r="P20" s="238" t="s"/>
      <c r="Q20" s="276" t="s">
        <v>2590</v>
      </c>
      <c r="R20" s="269" t="s"/>
      <c r="S20" s="276" t="s">
        <v>2590</v>
      </c>
      <c r="T20" s="269" t="s"/>
      <c r="U20" s="269" t="s"/>
      <c r="V20" s="269" t="s"/>
      <c r="W20" s="269" t="s"/>
      <c r="X20" s="271" t="s"/>
    </row>
    <row r="21" spans="1:24" ht="19.5" customHeight="true">
      <c r="A21" s="248" t="s"/>
      <c r="B21" s="267" t="s"/>
      <c r="C21" s="267" t="s"/>
      <c r="D21" s="267" t="s"/>
      <c r="E21" s="267" t="s"/>
      <c r="F21" s="268" t="s"/>
      <c r="G21" s="268" t="s"/>
      <c r="H21" s="268" t="s"/>
      <c r="I21" s="268" t="s"/>
      <c r="J21" s="238" t="s"/>
      <c r="K21" s="238" t="s"/>
      <c r="L21" s="238" t="s"/>
      <c r="M21" s="238" t="s"/>
      <c r="N21" s="238" t="s"/>
      <c r="O21" s="269" t="s"/>
      <c r="P21" s="238" t="s"/>
      <c r="Q21" s="269" t="s"/>
      <c r="R21" s="269" t="s"/>
      <c r="S21" s="269" t="s"/>
      <c r="T21" s="279" t="s"/>
      <c r="U21" s="279" t="s"/>
      <c r="V21" s="279" t="s"/>
      <c r="W21" s="279" t="s"/>
      <c r="X21" s="271" t="s"/>
    </row>
    <row r="22" spans="1:24" ht="19.5" customHeight="true">
      <c r="A22" s="248" t="s"/>
      <c r="B22" s="267" t="s"/>
      <c r="C22" s="267" t="s"/>
      <c r="D22" s="267" t="s"/>
      <c r="E22" s="267" t="s"/>
      <c r="F22" s="268" t="s"/>
      <c r="G22" s="268" t="s"/>
      <c r="H22" s="268" t="s"/>
      <c r="I22" s="268" t="s"/>
      <c r="J22" s="238" t="s"/>
      <c r="K22" s="275" t="s">
        <v>2395</v>
      </c>
      <c r="L22" s="11" t="s"/>
      <c r="M22" s="281" t="s"/>
      <c r="N22" s="282" t="s"/>
      <c r="O22" s="276" t="s">
        <v>2592</v>
      </c>
      <c r="P22" s="238" t="s"/>
      <c r="Q22" s="269" t="s"/>
      <c r="R22" s="269" t="s"/>
      <c r="S22" s="276" t="s">
        <v>2590</v>
      </c>
      <c r="T22" s="283" t="s">
        <v>2590</v>
      </c>
      <c r="U22" s="283" t="s">
        <v>2590</v>
      </c>
      <c r="V22" s="277" t="s"/>
      <c r="W22" s="277" t="s"/>
      <c r="X22" s="278" t="s"/>
    </row>
    <row r="23" spans="1:24" ht="19.5" customHeight="true">
      <c r="A23" s="248" t="s"/>
      <c r="B23" s="267" t="s"/>
      <c r="C23" s="267" t="s"/>
      <c r="D23" s="267" t="s"/>
      <c r="E23" s="267" t="s"/>
      <c r="F23" s="268" t="s"/>
      <c r="G23" s="268" t="s"/>
      <c r="H23" s="268" t="s"/>
      <c r="I23" s="268" t="s"/>
      <c r="J23" s="238" t="s"/>
      <c r="K23" s="238" t="s"/>
      <c r="L23" s="238" t="s"/>
      <c r="M23" s="238" t="s"/>
      <c r="N23" s="238" t="s"/>
      <c r="O23" s="269" t="s"/>
      <c r="P23" s="238" t="s"/>
      <c r="Q23" s="269" t="s"/>
      <c r="R23" s="269" t="s"/>
      <c r="S23" s="269" t="s"/>
      <c r="T23" s="269" t="s"/>
      <c r="U23" s="269" t="s"/>
      <c r="V23" s="269" t="s"/>
      <c r="W23" s="269" t="s"/>
      <c r="X23" s="271" t="s"/>
    </row>
    <row r="24" spans="1:24" ht="19.5" customHeight="true">
      <c r="A24" s="248" t="s"/>
      <c r="B24" s="267" t="s"/>
      <c r="C24" s="267" t="s"/>
      <c r="D24" s="267" t="s"/>
      <c r="E24" s="267" t="s"/>
      <c r="F24" s="268" t="s"/>
      <c r="G24" s="268" t="s"/>
      <c r="H24" s="268" t="s"/>
      <c r="I24" s="268" t="s"/>
      <c r="J24" s="238" t="s"/>
      <c r="K24" s="275" t="s">
        <v>2606</v>
      </c>
      <c r="L24" s="11" t="s"/>
      <c r="M24" s="11" t="s"/>
      <c r="N24" s="282" t="s"/>
      <c r="O24" s="276" t="s">
        <v>2592</v>
      </c>
      <c r="P24" s="238" t="s"/>
      <c r="Q24" s="269" t="s"/>
      <c r="R24" s="269" t="s"/>
      <c r="S24" s="276" t="s">
        <v>2590</v>
      </c>
      <c r="T24" s="286" t="s">
        <v>2590</v>
      </c>
      <c r="U24" s="286" t="s">
        <v>2590</v>
      </c>
      <c r="V24" s="279" t="s"/>
      <c r="W24" s="279" t="s"/>
      <c r="X24" s="271" t="s"/>
    </row>
    <row r="25" spans="1:24" ht="19.5" customHeight="true">
      <c r="A25" s="248" t="s"/>
      <c r="B25" s="267" t="s"/>
      <c r="C25" s="267" t="s"/>
      <c r="D25" s="267" t="s"/>
      <c r="E25" s="267" t="s"/>
      <c r="F25" s="268" t="s"/>
      <c r="G25" s="268" t="s"/>
      <c r="H25" s="268" t="s"/>
      <c r="I25" s="268" t="s"/>
      <c r="J25" s="238" t="s"/>
      <c r="K25" s="238" t="s"/>
      <c r="L25" s="238" t="s"/>
      <c r="M25" s="246" t="s"/>
      <c r="N25" s="238" t="s"/>
      <c r="O25" s="269" t="s"/>
      <c r="P25" s="238" t="s"/>
      <c r="Q25" s="269" t="s"/>
      <c r="R25" s="269" t="s"/>
      <c r="S25" s="269" t="s"/>
      <c r="T25" s="277" t="s"/>
      <c r="U25" s="277" t="s"/>
      <c r="V25" s="277" t="s"/>
      <c r="W25" s="277" t="s"/>
      <c r="X25" s="278" t="s"/>
    </row>
    <row r="26" spans="1:24" ht="19.5" customHeight="true">
      <c r="A26" s="248" t="s"/>
      <c r="B26" s="267" t="s"/>
      <c r="C26" s="267" t="s"/>
      <c r="D26" s="267" t="s"/>
      <c r="E26" s="267" t="s"/>
      <c r="F26" s="268" t="s"/>
      <c r="G26" s="268" t="s"/>
      <c r="H26" s="268" t="s"/>
      <c r="I26" s="268" t="s"/>
      <c r="J26" s="238" t="s"/>
      <c r="K26" s="280" t="s">
        <v>2607</v>
      </c>
      <c r="L26" s="11" t="s"/>
      <c r="M26" s="11" t="s"/>
      <c r="N26" s="264" t="s"/>
      <c r="O26" s="269" t="s"/>
      <c r="P26" s="238" t="s"/>
      <c r="Q26" s="276" t="s">
        <v>2590</v>
      </c>
      <c r="R26" s="269" t="s"/>
      <c r="S26" s="269" t="s"/>
      <c r="T26" s="283" t="s">
        <v>2590</v>
      </c>
      <c r="U26" s="277" t="s"/>
      <c r="V26" s="283" t="s">
        <v>2590</v>
      </c>
      <c r="W26" s="283" t="s">
        <v>2590</v>
      </c>
      <c r="X26" s="284" t="s"/>
    </row>
    <row r="27" spans="1:24" ht="19.5" customHeight="true">
      <c r="A27" s="248" t="s"/>
      <c r="B27" s="267" t="s"/>
      <c r="C27" s="267" t="s"/>
      <c r="D27" s="267" t="s"/>
      <c r="E27" s="267" t="s"/>
      <c r="F27" s="268" t="s"/>
      <c r="G27" s="268" t="s"/>
      <c r="H27" s="268" t="s"/>
      <c r="I27" s="268" t="s"/>
      <c r="J27" s="238" t="s"/>
      <c r="K27" s="238" t="s"/>
      <c r="L27" s="238" t="s"/>
      <c r="M27" s="238" t="s"/>
      <c r="N27" s="238" t="s"/>
      <c r="O27" s="269" t="s"/>
      <c r="P27" s="238" t="s"/>
      <c r="Q27" s="269" t="s"/>
      <c r="R27" s="269" t="s"/>
      <c r="S27" s="269" t="s"/>
      <c r="T27" s="279" t="s"/>
      <c r="U27" s="279" t="s"/>
      <c r="V27" s="279" t="s"/>
      <c r="W27" s="279" t="s"/>
      <c r="X27" s="271" t="s"/>
    </row>
    <row r="28" spans="1:24" ht="19.5" customHeight="true">
      <c r="A28" s="248" t="s"/>
      <c r="B28" s="267" t="s"/>
      <c r="C28" s="267" t="s"/>
      <c r="D28" s="267" t="s"/>
      <c r="E28" s="267" t="s"/>
      <c r="F28" s="268" t="s"/>
      <c r="G28" s="268" t="s"/>
      <c r="H28" s="268" t="s"/>
      <c r="I28" s="268" t="s"/>
      <c r="J28" s="238" t="s"/>
      <c r="K28" s="275" t="s">
        <v>2608</v>
      </c>
      <c r="L28" s="11" t="s"/>
      <c r="M28" s="281" t="s"/>
      <c r="N28" s="264" t="s"/>
      <c r="O28" s="276" t="s">
        <v>2609</v>
      </c>
      <c r="P28" s="238" t="s"/>
      <c r="Q28" s="238" t="s"/>
      <c r="R28" s="239" t="s"/>
      <c r="S28" s="276" t="s">
        <v>2610</v>
      </c>
      <c r="T28" s="277" t="s"/>
      <c r="U28" s="283" t="s">
        <v>2610</v>
      </c>
      <c r="V28" s="283" t="s">
        <v>2610</v>
      </c>
      <c r="W28" s="283" t="s">
        <v>2611</v>
      </c>
      <c r="X28" s="284" t="s"/>
    </row>
    <row r="29" spans="1:24" ht="19.5" customHeight="true">
      <c r="A29" s="248" t="s"/>
      <c r="B29" s="267" t="s"/>
      <c r="C29" s="267" t="s"/>
      <c r="D29" s="267" t="s"/>
      <c r="E29" s="267" t="s"/>
      <c r="F29" s="268" t="s"/>
      <c r="G29" s="268" t="s"/>
      <c r="H29" s="268" t="s"/>
      <c r="I29" s="268" t="s"/>
      <c r="J29" s="238" t="s"/>
      <c r="K29" s="238" t="s"/>
      <c r="L29" s="238" t="s"/>
      <c r="M29" s="238" t="s"/>
      <c r="N29" s="238" t="s"/>
      <c r="O29" s="269" t="s"/>
      <c r="P29" s="238" t="s"/>
      <c r="Q29" s="269" t="s"/>
      <c r="R29" s="269" t="s"/>
      <c r="S29" s="269" t="s"/>
      <c r="T29" s="277" t="s"/>
      <c r="U29" s="269" t="s"/>
      <c r="V29" s="269" t="s"/>
      <c r="W29" s="269" t="s"/>
      <c r="X29" s="271" t="s"/>
    </row>
    <row r="30" spans="1:24" ht="19.5" customHeight="true">
      <c r="A30" s="248" t="s"/>
      <c r="B30" s="267" t="s"/>
      <c r="C30" s="267" t="s"/>
      <c r="D30" s="267" t="s"/>
      <c r="E30" s="267" t="s"/>
      <c r="F30" s="268" t="s"/>
      <c r="G30" s="268" t="s"/>
      <c r="H30" s="268" t="s"/>
      <c r="I30" s="268" t="s"/>
      <c r="J30" s="238" t="s"/>
      <c r="K30" s="280" t="s">
        <v>2612</v>
      </c>
      <c r="L30" s="11" t="s"/>
      <c r="M30" s="11" t="s"/>
      <c r="N30" s="264" t="s"/>
      <c r="O30" s="269" t="s"/>
      <c r="P30" s="238" t="s"/>
      <c r="Q30" s="276" t="s">
        <v>2613</v>
      </c>
      <c r="R30" s="269" t="s"/>
      <c r="S30" s="276" t="s">
        <v>2614</v>
      </c>
      <c r="T30" s="277" t="s"/>
      <c r="U30" s="269" t="s"/>
      <c r="V30" s="269" t="s"/>
      <c r="W30" s="269" t="s"/>
      <c r="X30" s="271" t="s"/>
    </row>
    <row r="31" spans="1:24" ht="19.5" customHeight="true">
      <c r="A31" s="248" t="s"/>
      <c r="B31" s="267" t="s"/>
      <c r="C31" s="267" t="s"/>
      <c r="D31" s="267" t="s"/>
      <c r="E31" s="267" t="s"/>
      <c r="F31" s="268" t="s"/>
      <c r="G31" s="268" t="s"/>
      <c r="H31" s="268" t="s"/>
      <c r="I31" s="268" t="s"/>
      <c r="J31" s="238" t="s"/>
      <c r="K31" s="238" t="s"/>
      <c r="L31" s="238" t="s"/>
      <c r="M31" s="238" t="s"/>
      <c r="N31" s="238" t="s"/>
      <c r="O31" s="269" t="s"/>
      <c r="P31" s="238" t="s"/>
      <c r="Q31" s="269" t="s"/>
      <c r="R31" s="269" t="s"/>
      <c r="S31" s="269" t="s"/>
      <c r="T31" s="277" t="s"/>
      <c r="U31" s="269" t="s"/>
      <c r="V31" s="269" t="s"/>
      <c r="W31" s="269" t="s"/>
      <c r="X31" s="271" t="s"/>
    </row>
    <row r="32" spans="1:24" ht="19.5" customHeight="true">
      <c r="A32" s="248" t="s"/>
      <c r="B32" s="267" t="s"/>
      <c r="C32" s="267" t="s"/>
      <c r="D32" s="267" t="s"/>
      <c r="E32" s="267" t="s"/>
      <c r="F32" s="268" t="s"/>
      <c r="G32" s="268" t="s"/>
      <c r="H32" s="268" t="s"/>
      <c r="I32" s="268" t="s"/>
      <c r="J32" s="238" t="s"/>
      <c r="K32" s="280" t="s">
        <v>2615</v>
      </c>
      <c r="L32" s="11" t="s"/>
      <c r="M32" s="11" t="s"/>
      <c r="N32" s="264" t="s"/>
      <c r="O32" s="269" t="s"/>
      <c r="P32" s="238" t="s"/>
      <c r="Q32" s="269" t="s"/>
      <c r="R32" s="269" t="s"/>
      <c r="S32" s="269" t="s"/>
      <c r="T32" s="277" t="s"/>
      <c r="U32" s="269" t="s"/>
      <c r="V32" s="276" t="s">
        <v>2590</v>
      </c>
      <c r="W32" s="269" t="s"/>
      <c r="X32" s="271" t="s"/>
    </row>
    <row r="33" spans="1:24" ht="19.5" customHeight="true">
      <c r="A33" s="248" t="s"/>
      <c r="B33" s="267" t="s"/>
      <c r="C33" s="267" t="s"/>
      <c r="D33" s="267" t="s"/>
      <c r="E33" s="267" t="s"/>
      <c r="F33" s="267" t="s"/>
      <c r="G33" s="267" t="s"/>
      <c r="H33" s="267" t="s"/>
      <c r="I33" s="267" t="s"/>
      <c r="J33" s="238" t="s"/>
      <c r="K33" s="238" t="s"/>
      <c r="L33" s="238" t="s"/>
      <c r="M33" s="238" t="s"/>
      <c r="N33" s="238" t="s"/>
      <c r="O33" s="238" t="s"/>
      <c r="P33" s="238" t="s"/>
      <c r="Q33" s="238" t="s"/>
      <c r="R33" s="239" t="s"/>
      <c r="S33" s="238" t="s"/>
      <c r="T33" s="267" t="s"/>
      <c r="U33" s="238" t="s"/>
      <c r="V33" s="238" t="s"/>
      <c r="W33" s="238" t="s"/>
      <c r="X33" s="240" t="s"/>
    </row>
    <row r="34" spans="1:24" ht="19.5" customHeight="true">
      <c r="A34" s="248" t="s"/>
      <c r="B34" s="267" t="s"/>
      <c r="C34" s="267" t="s"/>
      <c r="D34" s="287" t="s">
        <v>2616</v>
      </c>
      <c r="E34" s="288" t="s"/>
      <c r="F34" s="288" t="s"/>
      <c r="G34" s="288" t="s"/>
      <c r="H34" s="288" t="s"/>
      <c r="I34" s="288" t="s"/>
      <c r="J34" s="288" t="s"/>
      <c r="K34" s="288" t="s"/>
      <c r="L34" s="288" t="s"/>
      <c r="M34" s="288" t="s"/>
      <c r="N34" s="288" t="s"/>
      <c r="O34" s="288" t="s"/>
      <c r="P34" s="288" t="s"/>
      <c r="Q34" s="288" t="s"/>
      <c r="R34" s="288" t="s"/>
      <c r="S34" s="288" t="s"/>
      <c r="T34" s="289" t="s"/>
      <c r="U34" s="288" t="s"/>
      <c r="V34" s="288" t="s"/>
      <c r="W34" s="288" t="s"/>
      <c r="X34" s="290" t="s"/>
    </row>
    <row r="35" spans="1:24" ht="19.5" customHeight="true">
      <c r="A35" s="248" t="s"/>
      <c r="B35" s="267" t="s"/>
      <c r="C35" s="267" t="s"/>
      <c r="D35" s="267" t="s"/>
      <c r="E35" s="267" t="s"/>
      <c r="F35" s="267" t="s"/>
      <c r="G35" s="267" t="s"/>
      <c r="H35" s="267" t="s"/>
      <c r="I35" s="267" t="s"/>
      <c r="J35" s="238" t="s"/>
      <c r="K35" s="238" t="s"/>
      <c r="L35" s="238" t="s"/>
      <c r="M35" s="238" t="s"/>
      <c r="N35" s="238" t="s"/>
      <c r="O35" s="238" t="s"/>
      <c r="P35" s="238" t="s"/>
      <c r="Q35" s="238" t="s"/>
      <c r="R35" s="239" t="s"/>
      <c r="S35" s="238" t="s"/>
      <c r="T35" s="267" t="s"/>
      <c r="U35" s="238" t="s"/>
      <c r="V35" s="238" t="s"/>
      <c r="W35" s="238" t="s"/>
      <c r="X35" s="240" t="s"/>
    </row>
    <row r="36" spans="1:24" ht="19.5" customHeight="true">
      <c r="A36" s="240" t="s"/>
      <c r="B36" s="238" t="s"/>
      <c r="C36" s="238" t="s"/>
      <c r="D36" s="249" t="s">
        <v>2580</v>
      </c>
      <c r="E36" s="250" t="s"/>
      <c r="F36" s="250" t="s"/>
      <c r="G36" s="250" t="s"/>
      <c r="H36" s="250" t="s"/>
      <c r="I36" s="250" t="s"/>
      <c r="J36" s="238" t="s"/>
      <c r="K36" s="291" t="s">
        <v>2581</v>
      </c>
      <c r="N36" s="264" t="s"/>
      <c r="O36" s="238" t="s"/>
      <c r="P36" s="238" t="s"/>
      <c r="Q36" s="292" t="s">
        <v>2583</v>
      </c>
      <c r="X36" s="254" t="s"/>
    </row>
    <row r="37" spans="1:24" ht="19.5" customHeight="true">
      <c r="A37" s="240" t="s"/>
      <c r="B37" s="238" t="s"/>
      <c r="C37" s="238" t="s"/>
      <c r="D37" s="238" t="s"/>
      <c r="E37" s="238" t="s"/>
      <c r="F37" s="238" t="s"/>
      <c r="G37" s="238" t="s"/>
      <c r="H37" s="238" t="s"/>
      <c r="I37" s="238" t="s"/>
      <c r="J37" s="238" t="s"/>
      <c r="K37" s="238" t="s"/>
      <c r="L37" s="238" t="s"/>
      <c r="M37" s="238" t="s"/>
      <c r="N37" s="238" t="s"/>
      <c r="O37" s="238" t="s"/>
      <c r="P37" s="238" t="s"/>
      <c r="Q37" s="238" t="s"/>
      <c r="R37" s="238" t="s"/>
      <c r="S37" s="238" t="s"/>
      <c r="T37" s="267" t="s"/>
      <c r="U37" s="238" t="s"/>
      <c r="V37" s="238" t="s"/>
      <c r="W37" s="238" t="s"/>
      <c r="X37" s="240" t="s"/>
    </row>
    <row r="38" spans="1:24" ht="19.5" customHeight="true">
      <c r="A38" s="240" t="s"/>
      <c r="B38" s="238" t="s"/>
      <c r="C38" s="238" t="s"/>
      <c r="D38" s="238" t="s"/>
      <c r="E38" s="238" t="s"/>
      <c r="F38" s="238" t="s"/>
      <c r="G38" s="238" t="s"/>
      <c r="H38" s="238" t="s"/>
      <c r="I38" s="238" t="s"/>
      <c r="J38" s="238" t="s"/>
      <c r="K38" s="238" t="s"/>
      <c r="L38" s="238" t="s"/>
      <c r="M38" s="238" t="s"/>
      <c r="N38" s="238" t="s"/>
      <c r="O38" s="238" t="s"/>
      <c r="P38" s="238" t="s"/>
      <c r="Q38" s="265" t="s">
        <v>2586</v>
      </c>
      <c r="R38" s="265" t="s">
        <v>2367</v>
      </c>
      <c r="S38" s="265" t="s">
        <v>2376</v>
      </c>
      <c r="T38" s="265" t="s">
        <v>2385</v>
      </c>
      <c r="U38" s="265" t="s">
        <v>2405</v>
      </c>
      <c r="V38" s="265" t="s">
        <v>2415</v>
      </c>
      <c r="W38" s="265" t="s">
        <v>2425</v>
      </c>
      <c r="X38" s="266" t="s"/>
    </row>
    <row r="39" spans="1:24" ht="19.5" customHeight="true">
      <c r="A39" s="240" t="s"/>
      <c r="B39" s="238" t="s"/>
      <c r="C39" s="238" t="s"/>
      <c r="D39" s="238" t="s"/>
      <c r="E39" s="238" t="s"/>
      <c r="F39" s="238" t="s"/>
      <c r="G39" s="238" t="s"/>
      <c r="H39" s="238" t="s"/>
      <c r="I39" s="238" t="s"/>
      <c r="J39" s="238" t="s"/>
      <c r="K39" s="275" t="s">
        <v>2588</v>
      </c>
      <c r="L39" s="11" t="s"/>
      <c r="M39" s="11" t="s"/>
      <c r="N39" s="264" t="s"/>
      <c r="O39" s="238" t="s"/>
      <c r="P39" s="238" t="s"/>
      <c r="Q39" s="276" t="s">
        <v>2590</v>
      </c>
      <c r="R39" s="269" t="s"/>
      <c r="S39" s="276" t="s">
        <v>2590</v>
      </c>
      <c r="T39" s="269" t="s"/>
      <c r="U39" s="269" t="s"/>
      <c r="V39" s="269" t="s"/>
      <c r="W39" s="269" t="s"/>
      <c r="X39" s="271" t="s"/>
    </row>
    <row r="40" spans="1:24" ht="19.5" customHeight="true">
      <c r="A40" s="240" t="s"/>
      <c r="B40" s="238" t="s"/>
      <c r="C40" s="238" t="s"/>
      <c r="D40" s="238" t="s"/>
      <c r="E40" s="238" t="s"/>
      <c r="F40" s="238" t="s"/>
      <c r="G40" s="238" t="s"/>
      <c r="H40" s="238" t="s"/>
      <c r="I40" s="238" t="s"/>
      <c r="J40" s="238" t="s"/>
      <c r="K40" s="238" t="s"/>
      <c r="L40" s="238" t="s"/>
      <c r="M40" s="238" t="s"/>
      <c r="N40" s="238" t="s"/>
      <c r="O40" s="238" t="s"/>
      <c r="P40" s="238" t="s"/>
      <c r="Q40" s="238" t="s"/>
      <c r="R40" s="238" t="s"/>
      <c r="S40" s="238" t="s"/>
      <c r="T40" s="238" t="s"/>
      <c r="U40" s="238" t="s"/>
      <c r="V40" s="238" t="s"/>
      <c r="W40" s="238" t="s"/>
      <c r="X40" s="240" t="s"/>
    </row>
    <row r="41" spans="1:24" ht="19.5" customHeight="true">
      <c r="A41" s="240" t="s"/>
      <c r="B41" s="238" t="s"/>
      <c r="C41" s="238" t="s"/>
      <c r="D41" s="238" t="s"/>
      <c r="E41" s="238" t="s"/>
      <c r="F41" s="238" t="s"/>
      <c r="G41" s="238" t="s"/>
      <c r="H41" s="238" t="s"/>
      <c r="I41" s="238" t="s"/>
      <c r="J41" s="238" t="s"/>
      <c r="K41" s="280" t="s">
        <v>2617</v>
      </c>
      <c r="L41" s="11" t="s"/>
      <c r="M41" s="11" t="s"/>
      <c r="N41" s="282" t="s"/>
      <c r="O41" s="238" t="s"/>
      <c r="P41" s="238" t="s"/>
      <c r="Q41" s="269" t="s"/>
      <c r="R41" s="276" t="s">
        <v>2590</v>
      </c>
      <c r="S41" s="276" t="s">
        <v>2590</v>
      </c>
      <c r="T41" s="279" t="s"/>
      <c r="U41" s="279" t="s"/>
      <c r="V41" s="279" t="s"/>
      <c r="W41" s="286" t="s">
        <v>2590</v>
      </c>
      <c r="X41" s="285" t="s"/>
    </row>
    <row r="42" spans="1:24" ht="19.5" customHeight="true">
      <c r="A42" s="240" t="s"/>
      <c r="B42" s="238" t="s"/>
      <c r="C42" s="238" t="s"/>
      <c r="D42" s="238" t="s"/>
      <c r="E42" s="238" t="s"/>
      <c r="F42" s="238" t="s"/>
      <c r="G42" s="238" t="s"/>
      <c r="H42" s="238" t="s"/>
      <c r="I42" s="238" t="s"/>
      <c r="J42" s="238" t="s"/>
      <c r="K42" s="238" t="s"/>
      <c r="L42" s="238" t="s"/>
      <c r="M42" s="246" t="s"/>
      <c r="N42" s="238" t="s"/>
      <c r="O42" s="238" t="s"/>
      <c r="P42" s="238" t="s"/>
      <c r="Q42" s="238" t="s"/>
      <c r="R42" s="238" t="s"/>
      <c r="S42" s="238" t="s"/>
      <c r="T42" s="267" t="s"/>
      <c r="U42" s="267" t="s"/>
      <c r="V42" s="267" t="s"/>
      <c r="W42" s="267" t="s"/>
      <c r="X42" s="248" t="s"/>
    </row>
    <row r="43" spans="1:24" ht="19.5" customHeight="true">
      <c r="A43" s="240" t="s"/>
      <c r="B43" s="238" t="s"/>
      <c r="C43" s="238" t="s"/>
      <c r="D43" s="238" t="s"/>
      <c r="E43" s="238" t="s"/>
      <c r="F43" s="238" t="s"/>
      <c r="G43" s="238" t="s"/>
      <c r="H43" s="238" t="s"/>
      <c r="I43" s="238" t="s"/>
      <c r="J43" s="238" t="s"/>
      <c r="K43" s="275" t="s">
        <v>2394</v>
      </c>
      <c r="L43" s="11" t="s"/>
      <c r="M43" s="11" t="s"/>
      <c r="N43" s="282" t="s"/>
      <c r="O43" s="238" t="s"/>
      <c r="P43" s="238" t="s"/>
      <c r="Q43" s="238" t="s"/>
      <c r="R43" s="238" t="s"/>
      <c r="S43" s="276" t="s">
        <v>2590</v>
      </c>
      <c r="T43" s="283" t="s">
        <v>2590</v>
      </c>
      <c r="U43" s="267" t="s"/>
      <c r="V43" s="267" t="s"/>
      <c r="W43" s="267" t="s"/>
      <c r="X43" s="248" t="s"/>
    </row>
    <row r="44" spans="1:24" ht="19.5" customHeight="true">
      <c r="A44" s="240" t="s"/>
      <c r="B44" s="238" t="s"/>
      <c r="C44" s="238" t="s"/>
      <c r="D44" s="238" t="s"/>
      <c r="E44" s="238" t="s"/>
      <c r="F44" s="238" t="s"/>
      <c r="G44" s="238" t="s"/>
      <c r="H44" s="238" t="s"/>
      <c r="I44" s="238" t="s"/>
      <c r="J44" s="238" t="s"/>
      <c r="K44" s="238" t="s"/>
      <c r="L44" s="238" t="s"/>
      <c r="M44" s="238" t="s"/>
      <c r="N44" s="238" t="s"/>
      <c r="O44" s="238" t="s"/>
      <c r="P44" s="238" t="s"/>
      <c r="Q44" s="238" t="s"/>
      <c r="R44" s="238" t="s"/>
      <c r="S44" s="238" t="s"/>
      <c r="T44" s="238" t="s"/>
      <c r="U44" s="238" t="s"/>
      <c r="V44" s="238" t="s"/>
      <c r="W44" s="238" t="s"/>
      <c r="X44" s="240" t="s"/>
    </row>
    <row r="45" spans="1:24" ht="19.5" customHeight="true">
      <c r="A45" s="240" t="s"/>
      <c r="B45" s="238" t="s"/>
      <c r="C45" s="238" t="s"/>
      <c r="D45" s="238" t="s"/>
      <c r="E45" s="238" t="s"/>
      <c r="F45" s="238" t="s"/>
      <c r="G45" s="238" t="s"/>
      <c r="H45" s="238" t="s"/>
      <c r="I45" s="238" t="s"/>
      <c r="J45" s="238" t="s"/>
      <c r="K45" s="280" t="s">
        <v>2617</v>
      </c>
      <c r="L45" s="11" t="s"/>
      <c r="M45" s="11" t="s"/>
      <c r="N45" s="282" t="s"/>
      <c r="O45" s="238" t="s"/>
      <c r="P45" s="238" t="s"/>
      <c r="Q45" s="269" t="s"/>
      <c r="R45" s="276" t="s">
        <v>2590</v>
      </c>
      <c r="S45" s="276" t="s">
        <v>2590</v>
      </c>
      <c r="T45" s="279" t="s"/>
      <c r="U45" s="279" t="s"/>
      <c r="V45" s="279" t="s"/>
      <c r="W45" s="293" t="s">
        <v>2590</v>
      </c>
      <c r="X45" s="294" t="s"/>
    </row>
    <row r="46" spans="1:24" ht="19.5" customHeight="true">
      <c r="A46" s="240" t="s"/>
      <c r="B46" s="238" t="s"/>
      <c r="C46" s="238" t="s"/>
      <c r="D46" s="238" t="s"/>
      <c r="E46" s="238" t="s"/>
      <c r="F46" s="238" t="s"/>
      <c r="G46" s="238" t="s"/>
      <c r="H46" s="295" t="s"/>
      <c r="I46" s="238" t="s"/>
      <c r="J46" s="238" t="s"/>
      <c r="K46" s="238" t="s"/>
      <c r="L46" s="238" t="s"/>
      <c r="M46" s="246" t="s"/>
      <c r="N46" s="238" t="s"/>
      <c r="O46" s="238" t="s"/>
      <c r="P46" s="238" t="s"/>
      <c r="Q46" s="238" t="s"/>
      <c r="R46" s="238" t="s"/>
      <c r="S46" s="238" t="s"/>
      <c r="T46" s="267" t="s"/>
      <c r="U46" s="267" t="s"/>
      <c r="V46" s="267" t="s"/>
      <c r="W46" s="267" t="s"/>
      <c r="X46" s="248" t="s"/>
    </row>
    <row r="47" spans="1:24" ht="19.5" customHeight="true">
      <c r="A47" s="240" t="s"/>
      <c r="B47" s="238" t="s"/>
      <c r="C47" s="238" t="s"/>
      <c r="D47" s="238" t="s"/>
      <c r="E47" s="238" t="s"/>
      <c r="F47" s="238" t="s"/>
      <c r="G47" s="238" t="s"/>
      <c r="H47" s="238" t="s"/>
      <c r="I47" s="238" t="s"/>
      <c r="J47" s="238" t="s"/>
      <c r="K47" s="275" t="s">
        <v>2618</v>
      </c>
      <c r="L47" s="11" t="s"/>
      <c r="M47" s="11" t="s"/>
      <c r="N47" s="282" t="s"/>
      <c r="O47" s="238" t="s"/>
      <c r="P47" s="238" t="s"/>
      <c r="Q47" s="276" t="s">
        <v>2590</v>
      </c>
      <c r="R47" s="238" t="s"/>
      <c r="S47" s="238" t="s"/>
      <c r="T47" s="238" t="s"/>
      <c r="U47" s="238" t="s"/>
      <c r="V47" s="238" t="s"/>
      <c r="W47" s="276" t="s">
        <v>2590</v>
      </c>
      <c r="X47" s="285" t="s"/>
    </row>
    <row r="48" spans="1:24" ht="19.5" customHeight="true">
      <c r="A48" s="240" t="s"/>
      <c r="B48" s="238" t="s"/>
      <c r="C48" s="238" t="s"/>
      <c r="D48" s="238" t="s"/>
      <c r="E48" s="238" t="s"/>
      <c r="F48" s="238" t="s"/>
      <c r="G48" s="238" t="s"/>
      <c r="H48" s="238" t="s"/>
      <c r="I48" s="238" t="s"/>
      <c r="J48" s="238" t="s"/>
      <c r="K48" s="238" t="s"/>
      <c r="L48" s="238" t="s"/>
      <c r="M48" s="238" t="s"/>
      <c r="N48" s="238" t="s"/>
      <c r="O48" s="238" t="s"/>
      <c r="P48" s="238" t="s"/>
      <c r="Q48" s="238" t="s"/>
      <c r="R48" s="238" t="s"/>
      <c r="S48" s="238" t="s"/>
      <c r="T48" s="258" t="s"/>
      <c r="U48" s="258" t="s"/>
      <c r="V48" s="258" t="s"/>
      <c r="W48" s="258" t="s"/>
      <c r="X48" s="240" t="s"/>
    </row>
    <row r="49" spans="1:24" ht="19.5" customHeight="true">
      <c r="A49" s="240" t="s"/>
      <c r="B49" s="238" t="s"/>
      <c r="C49" s="238" t="s"/>
      <c r="D49" s="238" t="s"/>
      <c r="E49" s="238" t="s"/>
      <c r="F49" s="238" t="s"/>
      <c r="G49" s="238" t="s"/>
      <c r="H49" s="238" t="s"/>
      <c r="I49" s="238" t="s"/>
      <c r="J49" s="238" t="s"/>
      <c r="K49" s="275" t="s">
        <v>2619</v>
      </c>
      <c r="L49" s="11" t="s"/>
      <c r="M49" s="281" t="s"/>
      <c r="N49" s="282" t="s"/>
      <c r="O49" s="238" t="s"/>
      <c r="P49" s="238" t="s"/>
      <c r="Q49" s="238" t="s"/>
      <c r="R49" s="238" t="s"/>
      <c r="S49" s="276" t="s">
        <v>2590</v>
      </c>
      <c r="T49" s="283" t="s">
        <v>2590</v>
      </c>
      <c r="U49" s="283" t="s">
        <v>2590</v>
      </c>
      <c r="V49" s="267" t="s"/>
      <c r="W49" s="267" t="s"/>
      <c r="X49" s="248" t="s"/>
    </row>
    <row r="50" spans="1:24" ht="19.5" customHeight="true">
      <c r="A50" s="240" t="s"/>
      <c r="B50" s="238" t="s"/>
      <c r="C50" s="238" t="s"/>
      <c r="D50" s="238" t="s"/>
      <c r="E50" s="238" t="s"/>
      <c r="F50" s="238" t="s"/>
      <c r="G50" s="238" t="s"/>
      <c r="H50" s="238" t="s"/>
      <c r="I50" s="238" t="s"/>
      <c r="J50" s="238" t="s"/>
      <c r="K50" s="238" t="s"/>
      <c r="L50" s="238" t="s"/>
      <c r="M50" s="238" t="s"/>
      <c r="N50" s="238" t="s"/>
      <c r="O50" s="238" t="s"/>
      <c r="P50" s="238" t="s"/>
      <c r="Q50" s="238" t="s"/>
      <c r="R50" s="238" t="s"/>
      <c r="S50" s="238" t="s"/>
      <c r="T50" s="238" t="s"/>
      <c r="U50" s="238" t="s"/>
      <c r="V50" s="238" t="s"/>
      <c r="W50" s="238" t="s"/>
      <c r="X50" s="240" t="s"/>
    </row>
    <row r="51" spans="1:24" ht="19.5" customHeight="true">
      <c r="A51" s="240" t="s"/>
      <c r="B51" s="238" t="s"/>
      <c r="C51" s="238" t="s"/>
      <c r="D51" s="238" t="s"/>
      <c r="E51" s="238" t="s"/>
      <c r="F51" s="238" t="s"/>
      <c r="G51" s="238" t="s"/>
      <c r="H51" s="238" t="s"/>
      <c r="I51" s="238" t="s"/>
      <c r="J51" s="238" t="s"/>
      <c r="K51" s="280" t="s">
        <v>2620</v>
      </c>
      <c r="L51" s="11" t="s"/>
      <c r="M51" s="11" t="s"/>
      <c r="N51" s="264" t="s"/>
      <c r="O51" s="238" t="s"/>
      <c r="P51" s="238" t="s"/>
      <c r="Q51" s="276" t="s">
        <v>2590</v>
      </c>
      <c r="R51" s="238" t="s"/>
      <c r="S51" s="238" t="s"/>
      <c r="T51" s="258" t="s"/>
      <c r="U51" s="258" t="s"/>
      <c r="V51" s="258" t="s"/>
      <c r="W51" s="258" t="s"/>
      <c r="X51" s="240" t="s"/>
    </row>
    <row r="52" spans="1:24" ht="19.5" customHeight="true">
      <c r="A52" s="240" t="s"/>
      <c r="B52" s="238" t="s"/>
      <c r="C52" s="238" t="s"/>
      <c r="D52" s="238" t="s"/>
      <c r="E52" s="238" t="s"/>
      <c r="F52" s="238" t="s"/>
      <c r="G52" s="238" t="s"/>
      <c r="H52" s="238" t="s"/>
      <c r="I52" s="238" t="s"/>
      <c r="J52" s="238" t="s"/>
      <c r="K52" s="238" t="s"/>
      <c r="L52" s="238" t="s"/>
      <c r="M52" s="246" t="s"/>
      <c r="N52" s="238" t="s"/>
      <c r="O52" s="238" t="s"/>
      <c r="P52" s="238" t="s"/>
      <c r="Q52" s="238" t="s"/>
      <c r="R52" s="238" t="s"/>
      <c r="S52" s="238" t="s"/>
      <c r="T52" s="267" t="s"/>
      <c r="U52" s="267" t="s"/>
      <c r="V52" s="267" t="s"/>
      <c r="W52" s="267" t="s"/>
      <c r="X52" s="248" t="s"/>
    </row>
    <row r="53" spans="1:24" ht="19.5" customHeight="true">
      <c r="A53" s="240" t="s"/>
      <c r="B53" s="238" t="s"/>
      <c r="C53" s="238" t="s"/>
      <c r="D53" s="238" t="s"/>
      <c r="E53" s="238" t="s"/>
      <c r="F53" s="238" t="s"/>
      <c r="G53" s="238" t="s"/>
      <c r="H53" s="238" t="s"/>
      <c r="I53" s="238" t="s"/>
      <c r="J53" s="238" t="s"/>
      <c r="K53" s="280" t="s">
        <v>2607</v>
      </c>
      <c r="L53" s="11" t="s"/>
      <c r="M53" s="11" t="s"/>
      <c r="N53" s="282" t="s"/>
      <c r="O53" s="238" t="s"/>
      <c r="P53" s="238" t="s"/>
      <c r="Q53" s="276" t="s">
        <v>2590</v>
      </c>
      <c r="R53" s="269" t="s"/>
      <c r="S53" s="269" t="s"/>
      <c r="T53" s="276" t="s">
        <v>2590</v>
      </c>
      <c r="U53" s="279" t="s"/>
      <c r="V53" s="286" t="s">
        <v>2590</v>
      </c>
      <c r="W53" s="286" t="s">
        <v>2590</v>
      </c>
      <c r="X53" s="285" t="s"/>
    </row>
    <row r="54" spans="1:24" ht="19.5" customHeight="true">
      <c r="A54" s="240" t="s"/>
      <c r="B54" s="238" t="s"/>
      <c r="C54" s="238" t="s"/>
      <c r="D54" s="238" t="s"/>
      <c r="E54" s="238" t="s"/>
      <c r="F54" s="238" t="s"/>
      <c r="G54" s="238" t="s"/>
      <c r="H54" s="238" t="s"/>
      <c r="I54" s="238" t="s"/>
      <c r="J54" s="238" t="s"/>
      <c r="K54" s="238" t="s"/>
      <c r="L54" s="238" t="s"/>
      <c r="M54" s="238" t="s"/>
      <c r="N54" s="238" t="s"/>
      <c r="O54" s="238" t="s"/>
      <c r="P54" s="238" t="s"/>
      <c r="Q54" s="238" t="s"/>
      <c r="R54" s="238" t="s"/>
      <c r="S54" s="238" t="s"/>
      <c r="T54" s="238" t="s"/>
      <c r="U54" s="258" t="s"/>
      <c r="V54" s="258" t="s"/>
      <c r="W54" s="258" t="s"/>
      <c r="X54" s="240" t="s"/>
    </row>
    <row r="55" spans="1:24" ht="19.5" customHeight="true">
      <c r="A55" s="240" t="s"/>
      <c r="B55" s="238" t="s"/>
      <c r="C55" s="238" t="s"/>
      <c r="D55" s="238" t="s"/>
      <c r="E55" s="238" t="s"/>
      <c r="F55" s="238" t="s"/>
      <c r="G55" s="238" t="s"/>
      <c r="H55" s="238" t="s"/>
      <c r="I55" s="238" t="s"/>
      <c r="J55" s="238" t="s"/>
      <c r="K55" s="275" t="s">
        <v>2621</v>
      </c>
      <c r="L55" s="11" t="s"/>
      <c r="M55" s="11" t="s"/>
      <c r="N55" s="282" t="s"/>
      <c r="O55" s="238" t="s"/>
      <c r="P55" s="238" t="s"/>
      <c r="Q55" s="276" t="s">
        <v>2590</v>
      </c>
      <c r="R55" s="269" t="s"/>
      <c r="S55" s="276" t="s">
        <v>2590</v>
      </c>
      <c r="T55" s="269" t="s"/>
      <c r="U55" s="279" t="s"/>
      <c r="V55" s="279" t="s"/>
      <c r="W55" s="258" t="s"/>
      <c r="X55" s="240" t="s"/>
    </row>
    <row r="56" spans="1:24" ht="19.5" customHeight="true">
      <c r="A56" s="240" t="s"/>
      <c r="B56" s="238" t="s"/>
      <c r="C56" s="238" t="s"/>
      <c r="D56" s="238" t="s"/>
      <c r="E56" s="238" t="s"/>
      <c r="F56" s="238" t="s"/>
      <c r="G56" s="238" t="s"/>
      <c r="H56" s="238" t="s"/>
      <c r="I56" s="238" t="s"/>
      <c r="J56" s="238" t="s"/>
      <c r="K56" s="238" t="s"/>
      <c r="L56" s="238" t="s"/>
      <c r="M56" s="238" t="s"/>
      <c r="N56" s="238" t="s"/>
      <c r="O56" s="238" t="s"/>
      <c r="P56" s="238" t="s"/>
      <c r="Q56" s="238" t="s"/>
      <c r="R56" s="238" t="s"/>
      <c r="S56" s="238" t="s"/>
      <c r="T56" s="258" t="s"/>
      <c r="U56" s="258" t="s"/>
      <c r="V56" s="258" t="s"/>
      <c r="W56" s="258" t="s"/>
      <c r="X56" s="240" t="s"/>
    </row>
    <row r="57" spans="1:24" ht="19.5" customHeight="true">
      <c r="A57" s="240" t="s"/>
      <c r="B57" s="238" t="s"/>
      <c r="C57" s="238" t="s"/>
      <c r="D57" s="238" t="s"/>
      <c r="E57" s="238" t="s"/>
      <c r="F57" s="238" t="s"/>
      <c r="G57" s="238" t="s"/>
      <c r="H57" s="238" t="s"/>
      <c r="I57" s="238" t="s"/>
      <c r="J57" s="238" t="s"/>
      <c r="K57" s="275" t="s">
        <v>2395</v>
      </c>
      <c r="L57" s="11" t="s"/>
      <c r="M57" s="11" t="s"/>
      <c r="N57" s="282" t="s"/>
      <c r="O57" s="238" t="s"/>
      <c r="P57" s="238" t="s"/>
      <c r="Q57" s="238" t="s"/>
      <c r="R57" s="238" t="s"/>
      <c r="S57" s="276" t="s">
        <v>2590</v>
      </c>
      <c r="T57" s="283" t="s">
        <v>2590</v>
      </c>
      <c r="U57" s="283" t="s">
        <v>2590</v>
      </c>
      <c r="V57" s="267" t="s"/>
      <c r="W57" s="267" t="s"/>
      <c r="X57" s="248" t="s"/>
    </row>
    <row r="58" spans="1:24" ht="19.5" customHeight="true">
      <c r="A58" s="240" t="s"/>
      <c r="B58" s="238" t="s"/>
      <c r="C58" s="238" t="s"/>
      <c r="D58" s="238" t="s"/>
      <c r="E58" s="238" t="s"/>
      <c r="F58" s="238" t="s"/>
      <c r="G58" s="238" t="s"/>
      <c r="H58" s="238" t="s"/>
      <c r="I58" s="238" t="s"/>
      <c r="J58" s="238" t="s"/>
      <c r="K58" s="238" t="s"/>
      <c r="L58" s="238" t="s"/>
      <c r="M58" s="238" t="s"/>
      <c r="N58" s="238" t="s"/>
      <c r="O58" s="238" t="s"/>
      <c r="P58" s="238" t="s"/>
      <c r="Q58" s="238" t="s"/>
      <c r="R58" s="238" t="s"/>
      <c r="S58" s="238" t="s"/>
      <c r="T58" s="238" t="s"/>
      <c r="U58" s="238" t="s"/>
      <c r="V58" s="238" t="s"/>
      <c r="W58" s="238" t="s"/>
      <c r="X58" s="240" t="s"/>
    </row>
    <row r="59" spans="1:24" ht="19.5" customHeight="true">
      <c r="A59" s="240" t="s"/>
      <c r="B59" s="238" t="s"/>
      <c r="C59" s="238" t="s"/>
      <c r="D59" s="238" t="s"/>
      <c r="E59" s="238" t="s"/>
      <c r="F59" s="238" t="s"/>
      <c r="G59" s="238" t="s"/>
      <c r="H59" s="238" t="s"/>
      <c r="I59" s="238" t="s"/>
      <c r="J59" s="238" t="s"/>
      <c r="K59" s="275" t="s">
        <v>2608</v>
      </c>
      <c r="L59" s="11" t="s"/>
      <c r="M59" s="11" t="s"/>
      <c r="N59" s="264" t="s"/>
      <c r="O59" s="238" t="s"/>
      <c r="P59" s="238" t="s"/>
      <c r="Q59" s="238" t="s"/>
      <c r="R59" s="238" t="s"/>
      <c r="S59" s="276" t="s">
        <v>2610</v>
      </c>
      <c r="T59" s="269" t="s"/>
      <c r="U59" s="276" t="s">
        <v>2610</v>
      </c>
      <c r="V59" s="276" t="s">
        <v>2610</v>
      </c>
      <c r="W59" s="276" t="s">
        <v>2611</v>
      </c>
      <c r="X59" s="285" t="s"/>
    </row>
    <row r="60" spans="1:24" ht="19.5" customHeight="true">
      <c r="A60" s="240" t="s"/>
      <c r="B60" s="238" t="s"/>
      <c r="C60" s="238" t="s"/>
      <c r="D60" s="238" t="s"/>
      <c r="E60" s="238" t="s"/>
      <c r="F60" s="238" t="s"/>
      <c r="G60" s="238" t="s"/>
      <c r="H60" s="238" t="s"/>
      <c r="I60" s="238" t="s"/>
      <c r="J60" s="238" t="s"/>
      <c r="K60" s="238" t="s"/>
      <c r="L60" s="238" t="s"/>
      <c r="M60" s="238" t="s"/>
      <c r="N60" s="238" t="s"/>
      <c r="O60" s="238" t="s"/>
      <c r="P60" s="238" t="s"/>
      <c r="Q60" s="238" t="s"/>
      <c r="R60" s="238" t="s"/>
      <c r="S60" s="238" t="s"/>
      <c r="T60" s="238" t="s"/>
      <c r="U60" s="238" t="s"/>
      <c r="V60" s="238" t="s"/>
      <c r="W60" s="238" t="s"/>
      <c r="X60" s="240" t="s"/>
    </row>
    <row r="61" spans="1:24" ht="19.5" customHeight="true">
      <c r="A61" s="240" t="s"/>
      <c r="B61" s="238" t="s"/>
      <c r="C61" s="238" t="s"/>
      <c r="D61" s="238" t="s"/>
      <c r="E61" s="238" t="s"/>
      <c r="F61" s="238" t="s"/>
      <c r="G61" s="238" t="s"/>
      <c r="H61" s="238" t="s"/>
      <c r="I61" s="238" t="s"/>
      <c r="J61" s="238" t="s"/>
      <c r="K61" s="280" t="s">
        <v>2612</v>
      </c>
      <c r="L61" s="11" t="s"/>
      <c r="M61" s="11" t="s"/>
      <c r="N61" s="264" t="s"/>
      <c r="O61" s="238" t="s"/>
      <c r="P61" s="238" t="s"/>
      <c r="Q61" s="276" t="s">
        <v>2613</v>
      </c>
      <c r="R61" s="269" t="s"/>
      <c r="S61" s="276" t="s">
        <v>2614</v>
      </c>
      <c r="T61" s="269" t="s"/>
      <c r="U61" s="269" t="s"/>
      <c r="V61" s="269" t="s"/>
      <c r="W61" s="269" t="s"/>
      <c r="X61" s="271" t="s"/>
    </row>
    <row r="62" spans="1:24" ht="19.5" customHeight="true">
      <c r="A62" s="240" t="s"/>
      <c r="B62" s="238" t="s"/>
      <c r="C62" s="238" t="s"/>
      <c r="D62" s="238" t="s"/>
      <c r="E62" s="238" t="s"/>
      <c r="F62" s="238" t="s"/>
      <c r="G62" s="238" t="s"/>
      <c r="H62" s="238" t="s"/>
      <c r="I62" s="238" t="s"/>
      <c r="J62" s="238" t="s"/>
      <c r="K62" s="238" t="s"/>
      <c r="L62" s="238" t="s"/>
      <c r="M62" s="238" t="s"/>
      <c r="N62" s="238" t="s"/>
      <c r="O62" s="238" t="s"/>
      <c r="P62" s="238" t="s"/>
      <c r="Q62" s="238" t="s"/>
      <c r="R62" s="238" t="s"/>
      <c r="S62" s="238" t="s"/>
      <c r="T62" s="238" t="s"/>
      <c r="U62" s="238" t="s"/>
      <c r="V62" s="238" t="s"/>
      <c r="W62" s="238" t="s"/>
      <c r="X62" s="240" t="s"/>
    </row>
    <row r="63" spans="1:24" ht="19.5" customHeight="true">
      <c r="A63" s="240" t="s"/>
      <c r="B63" s="238" t="s"/>
      <c r="C63" s="238" t="s"/>
      <c r="D63" s="238" t="s"/>
      <c r="E63" s="238" t="s"/>
      <c r="F63" s="238" t="s"/>
      <c r="G63" s="238" t="s"/>
      <c r="H63" s="238" t="s"/>
      <c r="I63" s="238" t="s"/>
      <c r="J63" s="238" t="s"/>
      <c r="K63" s="280" t="s">
        <v>2615</v>
      </c>
      <c r="L63" s="11" t="s"/>
      <c r="M63" s="11" t="s"/>
      <c r="N63" s="264" t="s"/>
      <c r="O63" s="238" t="s"/>
      <c r="P63" s="238" t="s"/>
      <c r="Q63" s="238" t="s"/>
      <c r="R63" s="238" t="s"/>
      <c r="S63" s="238" t="s"/>
      <c r="T63" s="238" t="s"/>
      <c r="U63" s="238" t="s"/>
      <c r="V63" s="276" t="s">
        <v>2590</v>
      </c>
      <c r="W63" s="238" t="s"/>
      <c r="X63" s="240" t="s"/>
    </row>
    <row r="64" spans="1:24" ht="19.5" customHeight="true">
      <c r="A64" s="240" t="s"/>
      <c r="B64" s="238" t="s"/>
      <c r="C64" s="238" t="s"/>
      <c r="D64" s="238" t="s"/>
      <c r="E64" s="238" t="s"/>
      <c r="F64" s="238" t="s"/>
      <c r="G64" s="238" t="s"/>
      <c r="H64" s="238" t="s"/>
      <c r="I64" s="238" t="s"/>
      <c r="J64" s="238" t="s"/>
      <c r="K64" s="238" t="s"/>
      <c r="L64" s="238" t="s"/>
      <c r="M64" s="238" t="s"/>
      <c r="N64" s="238" t="s"/>
      <c r="O64" s="238" t="s"/>
      <c r="P64" s="238" t="s"/>
      <c r="Q64" s="238" t="s"/>
      <c r="R64" s="238" t="s"/>
      <c r="S64" s="238" t="s"/>
      <c r="T64" s="238" t="s"/>
      <c r="U64" s="238" t="s"/>
      <c r="V64" s="238" t="s"/>
      <c r="W64" s="238" t="s"/>
      <c r="X64" s="240" t="s"/>
    </row>
    <row r="65" spans="1:24" ht="19.5" customHeight="true">
      <c r="A65" s="240" t="s"/>
      <c r="B65" s="238" t="s"/>
      <c r="C65" s="238" t="s"/>
      <c r="D65" s="296" t="s">
        <v>2622</v>
      </c>
      <c r="E65" s="288" t="s"/>
      <c r="F65" s="288" t="s"/>
      <c r="G65" s="288" t="s"/>
      <c r="H65" s="288" t="s"/>
      <c r="I65" s="288" t="s"/>
      <c r="J65" s="288" t="s"/>
      <c r="K65" s="288" t="s"/>
      <c r="L65" s="288" t="s"/>
      <c r="M65" s="288" t="s"/>
      <c r="N65" s="288" t="s"/>
      <c r="O65" s="288" t="s"/>
      <c r="P65" s="288" t="s"/>
      <c r="Q65" s="288" t="s"/>
      <c r="R65" s="288" t="s"/>
      <c r="S65" s="288" t="s"/>
      <c r="T65" s="288" t="s"/>
      <c r="U65" s="288" t="s"/>
      <c r="V65" s="288" t="s"/>
      <c r="W65" s="288" t="s"/>
      <c r="X65" s="290" t="s"/>
    </row>
    <row r="66" spans="1:24" ht="19.5" customHeight="true">
      <c r="A66" s="240" t="s"/>
      <c r="B66" s="238" t="s"/>
      <c r="C66" s="238" t="s"/>
      <c r="D66" s="238" t="s"/>
      <c r="E66" s="238" t="s"/>
      <c r="F66" s="238" t="s"/>
      <c r="G66" s="238" t="s"/>
      <c r="H66" s="238" t="s"/>
      <c r="I66" s="238" t="s"/>
      <c r="J66" s="238" t="s"/>
      <c r="K66" s="238" t="s"/>
      <c r="L66" s="238" t="s"/>
      <c r="M66" s="238" t="s"/>
      <c r="N66" s="238" t="s"/>
      <c r="O66" s="238" t="s"/>
      <c r="P66" s="238" t="s"/>
      <c r="Q66" s="238" t="s"/>
      <c r="R66" s="239" t="s"/>
      <c r="S66" s="238" t="s"/>
      <c r="T66" s="238" t="s"/>
      <c r="U66" s="238" t="s"/>
      <c r="V66" s="238" t="s"/>
      <c r="W66" s="238" t="s"/>
      <c r="X66" s="240" t="s"/>
    </row>
    <row r="67" spans="1:24" ht="19.5" customHeight="true">
      <c r="A67" s="240" t="s"/>
      <c r="B67" s="238" t="s"/>
      <c r="C67" s="238" t="s"/>
      <c r="D67" s="249" t="s">
        <v>2580</v>
      </c>
      <c r="E67" s="250" t="s"/>
      <c r="F67" s="250" t="s"/>
      <c r="G67" s="250" t="s"/>
      <c r="H67" s="250" t="s"/>
      <c r="I67" s="250" t="s"/>
      <c r="J67" s="238" t="s"/>
      <c r="K67" s="291" t="s">
        <v>2581</v>
      </c>
      <c r="N67" s="264" t="s"/>
      <c r="O67" s="292" t="s">
        <v>2582</v>
      </c>
      <c r="P67" s="238" t="s"/>
      <c r="Q67" s="292" t="s">
        <v>2583</v>
      </c>
      <c r="X67" s="254" t="s"/>
    </row>
    <row r="68" spans="1:24" ht="19.5" customHeight="true">
      <c r="A68" s="240" t="s"/>
      <c r="B68" s="238" t="s"/>
      <c r="C68" s="238" t="s"/>
      <c r="D68" s="238" t="s"/>
      <c r="E68" s="238" t="s"/>
      <c r="F68" s="238" t="s"/>
      <c r="G68" s="238" t="s"/>
      <c r="H68" s="238" t="s"/>
      <c r="I68" s="238" t="s"/>
      <c r="J68" s="238" t="s"/>
      <c r="K68" s="238" t="s"/>
      <c r="L68" s="238" t="s"/>
      <c r="M68" s="238" t="s"/>
      <c r="N68" s="238" t="s"/>
      <c r="O68" s="238" t="s"/>
      <c r="P68" s="238" t="s"/>
      <c r="Q68" s="238" t="s"/>
      <c r="R68" s="238" t="s"/>
      <c r="S68" s="238" t="s"/>
      <c r="T68" s="238" t="s"/>
      <c r="U68" s="238" t="s"/>
      <c r="V68" s="238" t="s"/>
      <c r="W68" s="238" t="s"/>
      <c r="X68" s="240" t="s"/>
    </row>
    <row r="69" spans="1:24" ht="15" customHeight="true">
      <c r="A69" s="240" t="s"/>
      <c r="B69" s="238" t="s"/>
      <c r="C69" s="238" t="s"/>
      <c r="D69" s="238" t="s"/>
      <c r="E69" s="238" t="s"/>
      <c r="F69" s="238" t="s"/>
      <c r="G69" s="238" t="s"/>
      <c r="H69" s="238" t="s"/>
      <c r="I69" s="238" t="s"/>
      <c r="J69" s="238" t="s"/>
      <c r="K69" s="238" t="s"/>
      <c r="L69" s="238" t="s"/>
      <c r="M69" s="238" t="s"/>
      <c r="N69" s="238" t="s"/>
      <c r="O69" s="238" t="s"/>
      <c r="P69" s="238" t="s"/>
      <c r="Q69" s="265" t="s">
        <v>2586</v>
      </c>
      <c r="R69" s="265" t="s">
        <v>2367</v>
      </c>
      <c r="S69" s="265" t="s">
        <v>2376</v>
      </c>
      <c r="T69" s="265" t="s">
        <v>2385</v>
      </c>
      <c r="U69" s="265" t="s">
        <v>2405</v>
      </c>
      <c r="V69" s="265" t="s">
        <v>2415</v>
      </c>
      <c r="W69" s="265" t="s">
        <v>2425</v>
      </c>
      <c r="X69" s="266" t="s"/>
    </row>
    <row r="70" spans="1:24" ht="15" customHeight="true">
      <c r="A70" s="240" t="s"/>
      <c r="B70" s="238" t="s"/>
      <c r="C70" s="238" t="s"/>
      <c r="D70" s="238" t="s"/>
      <c r="E70" s="238" t="s"/>
      <c r="F70" s="238" t="s"/>
      <c r="G70" s="238" t="s"/>
      <c r="H70" s="238" t="s"/>
      <c r="I70" s="238" t="s"/>
      <c r="J70" s="238" t="s"/>
      <c r="K70" s="275" t="s">
        <v>2588</v>
      </c>
      <c r="L70" s="11" t="s"/>
      <c r="M70" s="11" t="s"/>
      <c r="N70" s="264" t="s"/>
      <c r="O70" s="238" t="s"/>
      <c r="P70" s="238" t="s"/>
      <c r="Q70" s="269" t="s"/>
      <c r="R70" s="269" t="s"/>
      <c r="S70" s="276" t="s">
        <v>2590</v>
      </c>
      <c r="T70" s="269" t="s"/>
      <c r="U70" s="269" t="s"/>
      <c r="V70" s="269" t="s"/>
      <c r="W70" s="269" t="s"/>
      <c r="X70" s="271" t="s"/>
    </row>
    <row r="71" spans="1:24">
      <c r="A71" s="240" t="s"/>
      <c r="C71" s="238" t="s"/>
      <c r="D71" s="238" t="s"/>
      <c r="E71" s="238" t="s"/>
      <c r="F71" s="238" t="s"/>
      <c r="G71" s="238" t="s"/>
      <c r="H71" s="238" t="s"/>
      <c r="I71" s="238" t="s"/>
      <c r="J71" s="238" t="s"/>
      <c r="K71" s="238" t="s"/>
      <c r="L71" s="238" t="s"/>
      <c r="M71" s="238" t="s"/>
      <c r="N71" s="238" t="s"/>
      <c r="O71" s="238" t="s"/>
      <c r="P71" s="238" t="s"/>
      <c r="Q71" s="238" t="s"/>
      <c r="R71" s="238" t="s"/>
      <c r="S71" s="238" t="s"/>
      <c r="T71" s="238" t="s"/>
      <c r="U71" s="238" t="s"/>
      <c r="V71" s="238" t="s"/>
      <c r="W71" s="238" t="s"/>
      <c r="X71" s="240" t="s"/>
    </row>
    <row r="72" spans="1:24" ht="15" customHeight="true">
      <c r="A72" s="240" t="s"/>
      <c r="B72" s="238" t="s"/>
      <c r="C72" s="238" t="s"/>
      <c r="D72" s="238" t="s"/>
      <c r="E72" s="238" t="s"/>
      <c r="F72" s="238" t="s"/>
      <c r="G72" s="238" t="s"/>
      <c r="H72" s="238" t="s"/>
      <c r="I72" s="238" t="s"/>
      <c r="J72" s="238" t="s"/>
      <c r="K72" s="275" t="s">
        <v>2623</v>
      </c>
      <c r="L72" s="11" t="s"/>
      <c r="M72" s="11" t="s"/>
      <c r="N72" s="282" t="s"/>
      <c r="O72" s="276" t="s">
        <v>2624</v>
      </c>
      <c r="P72" s="238" t="s"/>
      <c r="Q72" s="269" t="s"/>
      <c r="R72" s="269" t="s"/>
      <c r="S72" s="276" t="s">
        <v>2590</v>
      </c>
      <c r="T72" s="269" t="s"/>
      <c r="U72" s="276" t="s">
        <v>2590</v>
      </c>
      <c r="V72" s="276" t="s">
        <v>2590</v>
      </c>
      <c r="W72" s="269" t="s"/>
      <c r="X72" s="271" t="s"/>
    </row>
    <row r="73" spans="1:24">
      <c r="A73" s="240" t="s"/>
      <c r="B73" s="238" t="s"/>
      <c r="C73" s="238" t="s"/>
      <c r="D73" s="238" t="s"/>
      <c r="E73" s="238" t="s"/>
      <c r="F73" s="238" t="s"/>
      <c r="G73" s="238" t="s"/>
      <c r="H73" s="238" t="s"/>
      <c r="I73" s="238" t="s"/>
      <c r="J73" s="238" t="s"/>
      <c r="K73" s="238" t="s"/>
      <c r="L73" s="238" t="s"/>
      <c r="M73" s="238" t="s"/>
      <c r="N73" s="238" t="s"/>
      <c r="O73" s="238" t="s"/>
      <c r="P73" s="238" t="s"/>
      <c r="Q73" s="238" t="s"/>
      <c r="R73" s="238" t="s"/>
      <c r="S73" s="238" t="s"/>
      <c r="T73" s="238" t="s"/>
      <c r="U73" s="238" t="s"/>
      <c r="V73" s="238" t="s"/>
      <c r="W73" s="238" t="s"/>
      <c r="X73" s="240" t="s"/>
    </row>
    <row r="74" spans="1:24" ht="15" customHeight="true">
      <c r="A74" s="240" t="s"/>
      <c r="B74" s="238" t="s"/>
      <c r="C74" s="238" t="s"/>
      <c r="D74" s="238" t="s"/>
      <c r="E74" s="238" t="s"/>
      <c r="F74" s="238" t="s"/>
      <c r="G74" s="238" t="s"/>
      <c r="H74" s="238" t="s"/>
      <c r="I74" s="238" t="s"/>
      <c r="J74" s="238" t="s"/>
      <c r="K74" s="275" t="s">
        <v>2625</v>
      </c>
      <c r="L74" s="11" t="s"/>
      <c r="M74" s="11" t="s"/>
      <c r="N74" s="282" t="s"/>
      <c r="O74" s="276" t="s">
        <v>2624</v>
      </c>
      <c r="P74" s="238" t="s"/>
      <c r="Q74" s="238" t="s"/>
      <c r="R74" s="238" t="s"/>
      <c r="S74" s="276" t="s">
        <v>2590</v>
      </c>
      <c r="T74" s="269" t="s"/>
      <c r="U74" s="238" t="s"/>
      <c r="V74" s="276" t="s">
        <v>2590</v>
      </c>
      <c r="W74" s="238" t="s"/>
      <c r="X74" s="240" t="s"/>
    </row>
    <row r="75" spans="1:24">
      <c r="A75" s="240" t="s"/>
      <c r="B75" s="238" t="s"/>
      <c r="C75" s="238" t="s"/>
      <c r="D75" s="238" t="s"/>
      <c r="E75" s="238" t="s"/>
      <c r="F75" s="238" t="s"/>
      <c r="G75" s="238" t="s"/>
      <c r="H75" s="238" t="s"/>
      <c r="I75" s="238" t="s"/>
      <c r="J75" s="238" t="s"/>
      <c r="K75" s="238" t="s"/>
      <c r="L75" s="238" t="s"/>
      <c r="M75" s="238" t="s"/>
      <c r="N75" s="238" t="s"/>
      <c r="O75" s="238" t="s"/>
      <c r="P75" s="238" t="s"/>
      <c r="Q75" s="238" t="s"/>
      <c r="R75" s="238" t="s"/>
      <c r="S75" s="238" t="s"/>
      <c r="T75" s="238" t="s"/>
      <c r="U75" s="238" t="s"/>
      <c r="V75" s="238" t="s"/>
      <c r="W75" s="238" t="s"/>
      <c r="X75" s="240" t="s"/>
    </row>
    <row r="76" spans="1:24" ht="15" customHeight="true">
      <c r="A76" s="240" t="s"/>
      <c r="B76" s="238" t="s"/>
      <c r="C76" s="238" t="s"/>
      <c r="D76" s="238" t="s"/>
      <c r="E76" s="238" t="s"/>
      <c r="F76" s="238" t="s"/>
      <c r="G76" s="238" t="s"/>
      <c r="H76" s="238" t="s"/>
      <c r="I76" s="238" t="s"/>
      <c r="J76" s="238" t="s"/>
      <c r="K76" s="275" t="s">
        <v>2626</v>
      </c>
      <c r="L76" s="11" t="s"/>
      <c r="M76" s="11" t="s"/>
      <c r="N76" s="282" t="s"/>
      <c r="O76" s="238" t="s"/>
      <c r="P76" s="238" t="s"/>
      <c r="Q76" s="269" t="s"/>
      <c r="R76" s="269" t="s"/>
      <c r="S76" s="269" t="s"/>
      <c r="T76" s="269" t="s"/>
      <c r="U76" s="269" t="s"/>
      <c r="V76" s="276" t="s">
        <v>2590</v>
      </c>
      <c r="W76" s="276" t="s">
        <v>2590</v>
      </c>
      <c r="X76" s="285" t="s"/>
    </row>
    <row r="77" spans="1:24">
      <c r="A77" s="240" t="s"/>
      <c r="B77" s="238" t="s"/>
      <c r="C77" s="238" t="s"/>
      <c r="D77" s="238" t="s"/>
      <c r="E77" s="238" t="s"/>
      <c r="F77" s="238" t="s"/>
      <c r="G77" s="238" t="s"/>
      <c r="H77" s="297" t="s"/>
      <c r="I77" s="238" t="s"/>
      <c r="J77" s="238" t="s"/>
      <c r="K77" s="238" t="s"/>
      <c r="L77" s="238" t="s"/>
      <c r="M77" s="238" t="s"/>
      <c r="N77" s="238" t="s"/>
      <c r="O77" s="238" t="s"/>
      <c r="P77" s="238" t="s"/>
      <c r="Q77" s="238" t="s"/>
      <c r="R77" s="238" t="s"/>
      <c r="S77" s="238" t="s"/>
      <c r="T77" s="238" t="s"/>
      <c r="U77" s="238" t="s"/>
      <c r="V77" s="238" t="s"/>
      <c r="W77" s="238" t="s"/>
      <c r="X77" s="240" t="s"/>
    </row>
    <row r="78" spans="1:24">
      <c r="A78" s="240" t="s"/>
      <c r="B78" s="238" t="s"/>
      <c r="C78" s="238" t="s"/>
      <c r="D78" s="238" t="s"/>
      <c r="E78" s="238" t="s"/>
      <c r="F78" s="238" t="s"/>
      <c r="G78" s="238" t="s"/>
      <c r="H78" s="238" t="s"/>
      <c r="I78" s="238" t="s"/>
      <c r="J78" s="238" t="s"/>
      <c r="K78" s="238" t="s"/>
      <c r="L78" s="238" t="s"/>
      <c r="M78" s="238" t="s"/>
      <c r="N78" s="238" t="s"/>
      <c r="O78" s="238" t="s"/>
      <c r="P78" s="238" t="s"/>
      <c r="Q78" s="238" t="s"/>
      <c r="R78" s="238" t="s"/>
      <c r="S78" s="238" t="s"/>
      <c r="T78" s="238" t="s"/>
      <c r="U78" s="238" t="s"/>
      <c r="V78" s="238" t="s"/>
      <c r="W78" s="238" t="s"/>
      <c r="X78" s="240" t="s"/>
    </row>
    <row r="79" spans="1:24" ht="19.5" customHeight="true">
      <c r="A79" s="240" t="s"/>
      <c r="B79" s="238" t="s"/>
      <c r="C79" s="238" t="s"/>
      <c r="D79" s="296" t="s">
        <v>2627</v>
      </c>
      <c r="E79" s="288" t="s"/>
      <c r="F79" s="288" t="s"/>
      <c r="G79" s="288" t="s"/>
      <c r="H79" s="288" t="s"/>
      <c r="I79" s="288" t="s"/>
      <c r="J79" s="288" t="s"/>
      <c r="K79" s="288" t="s"/>
      <c r="L79" s="288" t="s"/>
      <c r="M79" s="288" t="s"/>
      <c r="N79" s="288" t="s"/>
      <c r="O79" s="288" t="s"/>
      <c r="P79" s="288" t="s"/>
      <c r="Q79" s="288" t="s"/>
      <c r="R79" s="288" t="s"/>
      <c r="S79" s="288" t="s"/>
      <c r="T79" s="288" t="s"/>
      <c r="U79" s="288" t="s"/>
      <c r="V79" s="288" t="s"/>
      <c r="W79" s="288" t="s"/>
      <c r="X79" s="290" t="s"/>
    </row>
    <row r="80" spans="1:24" ht="19.5" customHeight="true">
      <c r="A80" s="240" t="s"/>
      <c r="B80" s="238" t="s"/>
      <c r="C80" s="238" t="s"/>
      <c r="D80" s="238" t="s"/>
      <c r="E80" s="238" t="s"/>
      <c r="F80" s="238" t="s"/>
      <c r="G80" s="238" t="s"/>
      <c r="H80" s="238" t="s"/>
      <c r="I80" s="238" t="s"/>
      <c r="J80" s="238" t="s"/>
      <c r="K80" s="238" t="s"/>
      <c r="L80" s="238" t="s"/>
      <c r="M80" s="238" t="s"/>
      <c r="N80" s="238" t="s"/>
      <c r="O80" s="238" t="s"/>
      <c r="P80" s="238" t="s"/>
      <c r="Q80" s="238" t="s"/>
      <c r="R80" s="239" t="s"/>
      <c r="S80" s="238" t="s"/>
      <c r="T80" s="238" t="s"/>
      <c r="U80" s="238" t="s"/>
      <c r="V80" s="238" t="s"/>
      <c r="W80" s="238" t="s"/>
      <c r="X80" s="240" t="s"/>
    </row>
    <row r="81" spans="1:24" ht="19.5" customHeight="true">
      <c r="A81" s="240" t="s"/>
      <c r="B81" s="238" t="s"/>
      <c r="C81" s="238" t="s"/>
      <c r="D81" s="298" t="s">
        <v>2628</v>
      </c>
      <c r="E81" s="299" t="s"/>
      <c r="F81" s="299" t="s"/>
      <c r="G81" s="299" t="s"/>
      <c r="H81" s="300" t="s">
        <v>2629</v>
      </c>
      <c r="I81" s="301" t="s"/>
      <c r="J81" s="301" t="s"/>
      <c r="K81" s="301" t="s"/>
      <c r="L81" s="300" t="s">
        <v>2630</v>
      </c>
      <c r="M81" s="301" t="s"/>
      <c r="N81" s="301" t="s"/>
      <c r="O81" s="301" t="s"/>
      <c r="P81" s="300" t="s">
        <v>2631</v>
      </c>
      <c r="Q81" s="301" t="s"/>
      <c r="R81" s="301" t="s"/>
      <c r="S81" s="300" t="s">
        <v>2632</v>
      </c>
      <c r="T81" s="301" t="s"/>
      <c r="U81" s="302" t="s">
        <v>2633</v>
      </c>
      <c r="V81" s="303" t="s"/>
      <c r="W81" s="303" t="s"/>
      <c r="X81" s="304" t="s"/>
    </row>
    <row r="82" spans="1:24" ht="19.5" customHeight="true">
      <c r="A82" s="240" t="s"/>
      <c r="B82" s="238" t="s"/>
      <c r="C82" s="238" t="s"/>
      <c r="D82" s="305" t="s">
        <v>2586</v>
      </c>
      <c r="E82" s="306" t="s"/>
      <c r="F82" s="306" t="s"/>
      <c r="G82" s="306" t="s"/>
      <c r="H82" s="307" t="s">
        <v>2634</v>
      </c>
      <c r="I82" s="308" t="s"/>
      <c r="J82" s="308" t="s"/>
      <c r="K82" s="308" t="s"/>
      <c r="L82" s="307" t="s">
        <v>2635</v>
      </c>
      <c r="M82" s="308" t="s"/>
      <c r="N82" s="308" t="s"/>
      <c r="O82" s="308" t="s"/>
      <c r="P82" s="309" t="s"/>
      <c r="Q82" s="308" t="s"/>
      <c r="R82" s="308" t="s"/>
      <c r="S82" s="307" t="s">
        <v>2636</v>
      </c>
      <c r="T82" s="308" t="s"/>
      <c r="U82" s="310" t="s"/>
      <c r="V82" s="311" t="s"/>
      <c r="W82" s="311" t="s"/>
      <c r="X82" s="312" t="s"/>
    </row>
    <row r="83" spans="1:24" ht="19.5" customHeight="true">
      <c r="A83" s="240" t="s"/>
      <c r="B83" s="238" t="s"/>
      <c r="C83" s="238" t="s"/>
      <c r="D83" s="313" t="s">
        <v>2425</v>
      </c>
      <c r="E83" s="314" t="s"/>
      <c r="F83" s="314" t="s"/>
      <c r="G83" s="314" t="s"/>
      <c r="H83" s="315" t="s">
        <v>2637</v>
      </c>
      <c r="I83" s="316" t="s"/>
      <c r="J83" s="316" t="s"/>
      <c r="K83" s="316" t="s"/>
      <c r="L83" s="315" t="s">
        <v>2638</v>
      </c>
      <c r="M83" s="316" t="s"/>
      <c r="N83" s="316" t="s"/>
      <c r="O83" s="316" t="s"/>
      <c r="P83" s="315" t="s">
        <v>2639</v>
      </c>
      <c r="Q83" s="316" t="s"/>
      <c r="R83" s="316" t="s"/>
      <c r="S83" s="315" t="s">
        <v>2640</v>
      </c>
      <c r="T83" s="316" t="s"/>
      <c r="U83" s="317" t="s">
        <v>2641</v>
      </c>
      <c r="V83" s="318" t="s"/>
      <c r="W83" s="318" t="s"/>
      <c r="X83" s="266" t="s"/>
    </row>
    <row r="84" spans="1:24" ht="19.5" customHeight="true">
      <c r="A84" s="240" t="s"/>
      <c r="B84" s="238" t="s"/>
      <c r="C84" s="238" t="s"/>
      <c r="D84" s="319" t="s">
        <v>2376</v>
      </c>
      <c r="E84" s="320" t="s"/>
      <c r="F84" s="320" t="s"/>
      <c r="G84" s="320" t="s"/>
      <c r="H84" s="265" t="s">
        <v>2642</v>
      </c>
      <c r="L84" s="265" t="s">
        <v>2643</v>
      </c>
      <c r="P84" s="264" t="s"/>
      <c r="S84" s="264" t="s"/>
      <c r="U84" s="321" t="s"/>
      <c r="V84" s="322" t="s"/>
      <c r="W84" s="322" t="s"/>
      <c r="X84" s="312" t="s"/>
    </row>
    <row r="85" spans="1:24" ht="19.5" customHeight="true">
      <c r="A85" s="240" t="s"/>
      <c r="B85" s="238" t="s"/>
      <c r="C85" s="238" t="s"/>
      <c r="D85" s="319" t="s">
        <v>2415</v>
      </c>
      <c r="E85" s="320" t="s"/>
      <c r="F85" s="320" t="s"/>
      <c r="G85" s="320" t="s"/>
      <c r="H85" s="265" t="s">
        <v>2644</v>
      </c>
      <c r="L85" s="265" t="s">
        <v>2644</v>
      </c>
      <c r="P85" s="264" t="s"/>
      <c r="S85" s="265" t="s">
        <v>2645</v>
      </c>
      <c r="U85" s="321" t="s"/>
      <c r="V85" s="322" t="s"/>
      <c r="W85" s="322" t="s"/>
      <c r="X85" s="312" t="s"/>
    </row>
    <row r="86" spans="1:24" ht="19.5" customHeight="true">
      <c r="A86" s="240" t="s"/>
      <c r="B86" s="238" t="s"/>
      <c r="C86" s="238" t="s"/>
      <c r="D86" s="319" t="s">
        <v>2537</v>
      </c>
      <c r="E86" s="320" t="s"/>
      <c r="F86" s="320" t="s"/>
      <c r="G86" s="320" t="s"/>
      <c r="H86" s="265" t="s">
        <v>2646</v>
      </c>
      <c r="L86" s="265" t="s">
        <v>2643</v>
      </c>
      <c r="P86" s="264" t="s"/>
      <c r="S86" s="265" t="s">
        <v>2647</v>
      </c>
      <c r="U86" s="321" t="s"/>
      <c r="V86" s="322" t="s"/>
      <c r="W86" s="322" t="s"/>
      <c r="X86" s="312" t="s"/>
    </row>
    <row r="87" spans="1:24" ht="19.5" customHeight="true">
      <c r="A87" s="240" t="s"/>
      <c r="B87" s="238" t="s"/>
      <c r="C87" s="238" t="s"/>
      <c r="D87" s="319" t="s">
        <v>2648</v>
      </c>
      <c r="E87" s="320" t="s"/>
      <c r="F87" s="320" t="s"/>
      <c r="G87" s="320" t="s"/>
      <c r="H87" s="264" t="s"/>
      <c r="L87" s="264" t="s"/>
      <c r="P87" s="264" t="s"/>
      <c r="S87" s="264" t="s"/>
      <c r="U87" s="323" t="s">
        <v>2649</v>
      </c>
      <c r="V87" s="322" t="s"/>
      <c r="W87" s="322" t="s"/>
      <c r="X87" s="266" t="s"/>
    </row>
    <row r="88" spans="1:24" ht="19.5" customHeight="true">
      <c r="A88" s="240" t="s"/>
      <c r="B88" s="238" t="s"/>
      <c r="C88" s="238" t="s"/>
      <c r="D88" s="324" t="s">
        <v>2650</v>
      </c>
      <c r="E88" s="325" t="s"/>
      <c r="F88" s="325" t="s"/>
      <c r="G88" s="325" t="s"/>
      <c r="H88" s="326" t="s"/>
      <c r="I88" s="327" t="s"/>
      <c r="J88" s="327" t="s"/>
      <c r="K88" s="327" t="s"/>
      <c r="L88" s="326" t="s"/>
      <c r="M88" s="327" t="s"/>
      <c r="N88" s="327" t="s"/>
      <c r="O88" s="327" t="s"/>
      <c r="P88" s="326" t="s"/>
      <c r="Q88" s="327" t="s"/>
      <c r="R88" s="327" t="s"/>
      <c r="S88" s="326" t="s"/>
      <c r="T88" s="327" t="s"/>
      <c r="U88" s="328" t="s">
        <v>2651</v>
      </c>
      <c r="V88" s="329" t="s"/>
      <c r="W88" s="329" t="s"/>
      <c r="X88" s="266" t="s"/>
    </row>
    <row r="89" spans="1:24">
      <c r="A89" s="240" t="s"/>
      <c r="B89" s="238" t="s"/>
      <c r="C89" s="238" t="s"/>
      <c r="D89" s="238" t="s"/>
      <c r="E89" s="238" t="s"/>
      <c r="F89" s="238" t="s"/>
      <c r="G89" s="238" t="s"/>
      <c r="H89" s="238" t="s"/>
      <c r="I89" s="238" t="s"/>
      <c r="J89" s="238" t="s"/>
      <c r="K89" s="238" t="s"/>
      <c r="L89" s="238" t="s"/>
      <c r="M89" s="238" t="s"/>
      <c r="N89" s="238" t="s"/>
      <c r="O89" s="238" t="s"/>
      <c r="P89" s="238" t="s"/>
      <c r="Q89" s="238" t="s"/>
      <c r="R89" s="239" t="s"/>
      <c r="S89" s="238" t="s"/>
      <c r="T89" s="238" t="s"/>
      <c r="U89" s="238" t="s"/>
      <c r="V89" s="238" t="s"/>
      <c r="W89" s="238" t="s"/>
      <c r="X89" s="240" t="s"/>
    </row>
    <row r="90" spans="1:24">
      <c r="A90" s="240" t="s"/>
      <c r="B90" s="238" t="s"/>
      <c r="C90" s="238" t="s"/>
      <c r="D90" s="238" t="s"/>
      <c r="E90" s="238" t="s"/>
      <c r="F90" s="238" t="s"/>
      <c r="G90" s="238" t="s"/>
      <c r="H90" s="238" t="s"/>
      <c r="I90" s="238" t="s"/>
      <c r="J90" s="238" t="s"/>
      <c r="K90" s="238" t="s"/>
      <c r="L90" s="238" t="s"/>
      <c r="M90" s="238" t="s"/>
      <c r="N90" s="238" t="s"/>
      <c r="O90" s="238" t="s"/>
      <c r="P90" s="238" t="s"/>
      <c r="Q90" s="238" t="s"/>
      <c r="R90" s="239" t="s"/>
      <c r="S90" s="238" t="s"/>
      <c r="T90" s="238" t="s"/>
      <c r="U90" s="238" t="s"/>
      <c r="V90" s="238" t="s"/>
      <c r="W90" s="238" t="s"/>
      <c r="X90" s="240" t="s"/>
    </row>
    <row r="91" spans="1:24">
      <c r="A91" s="240" t="s"/>
      <c r="B91" s="238" t="s"/>
      <c r="C91" s="238" t="s"/>
      <c r="D91" s="238" t="s"/>
      <c r="E91" s="238" t="s"/>
      <c r="F91" s="238" t="s"/>
      <c r="G91" s="238" t="s"/>
      <c r="H91" s="238" t="s"/>
      <c r="I91" s="238" t="s"/>
      <c r="J91" s="238" t="s"/>
      <c r="K91" s="238" t="s"/>
      <c r="L91" s="238" t="s"/>
      <c r="M91" s="238" t="s"/>
      <c r="N91" s="238" t="s"/>
      <c r="O91" s="238" t="s"/>
      <c r="P91" s="238" t="s"/>
      <c r="Q91" s="238" t="s"/>
      <c r="R91" s="239" t="s"/>
      <c r="S91" s="238" t="s"/>
      <c r="T91" s="238" t="s"/>
      <c r="U91" s="238" t="s"/>
      <c r="V91" s="238" t="s"/>
      <c r="W91" s="238" t="s"/>
      <c r="X91" s="240" t="s"/>
    </row>
    <row r="92" spans="1:24">
      <c r="A92" s="240" t="s"/>
      <c r="B92" s="238" t="s"/>
      <c r="C92" s="238" t="s"/>
      <c r="D92" s="238" t="s"/>
      <c r="E92" s="238" t="s"/>
      <c r="F92" s="238" t="s"/>
      <c r="G92" s="238" t="s"/>
      <c r="H92" s="238" t="s"/>
      <c r="I92" s="238" t="s"/>
      <c r="J92" s="238" t="s"/>
      <c r="K92" s="238" t="s"/>
      <c r="L92" s="238" t="s"/>
      <c r="M92" s="238" t="s"/>
      <c r="N92" s="238" t="s"/>
      <c r="O92" s="238" t="s"/>
      <c r="P92" s="238" t="s"/>
      <c r="Q92" s="238" t="s"/>
      <c r="R92" s="239" t="s"/>
      <c r="S92" s="238" t="s"/>
      <c r="T92" s="238" t="s"/>
      <c r="U92" s="238" t="s"/>
      <c r="V92" s="238" t="s"/>
      <c r="W92" s="238" t="s"/>
      <c r="X92" s="240" t="s"/>
    </row>
    <row r="93" spans="1:24">
      <c r="A93" s="240" t="s"/>
      <c r="B93" s="238" t="s"/>
      <c r="C93" s="238" t="s"/>
      <c r="D93" s="238" t="s"/>
      <c r="E93" s="238" t="s"/>
      <c r="F93" s="238" t="s"/>
      <c r="G93" s="238" t="s"/>
      <c r="H93" s="238" t="s"/>
      <c r="I93" s="238" t="s"/>
      <c r="J93" s="238" t="s"/>
      <c r="K93" s="238" t="s"/>
      <c r="L93" s="238" t="s"/>
      <c r="M93" s="238" t="s"/>
      <c r="N93" s="238" t="s"/>
      <c r="O93" s="238" t="s"/>
      <c r="P93" s="238" t="s"/>
      <c r="Q93" s="238" t="s"/>
      <c r="R93" s="239" t="s"/>
      <c r="S93" s="238" t="s"/>
      <c r="T93" s="238" t="s"/>
      <c r="U93" s="238" t="s"/>
      <c r="V93" s="238" t="s"/>
      <c r="W93" s="238" t="s"/>
      <c r="X93" s="240" t="s"/>
    </row>
    <row r="94" spans="1:24">
      <c r="A94" s="240" t="s"/>
      <c r="B94" s="238" t="s"/>
      <c r="C94" s="238" t="s"/>
      <c r="D94" s="238" t="s"/>
      <c r="E94" s="238" t="s"/>
      <c r="F94" s="238" t="s"/>
      <c r="G94" s="238" t="s"/>
      <c r="H94" s="238" t="s"/>
      <c r="I94" s="238" t="s"/>
      <c r="J94" s="238" t="s"/>
      <c r="K94" s="238" t="s"/>
      <c r="L94" s="238" t="s"/>
      <c r="M94" s="238" t="s"/>
      <c r="N94" s="238" t="s"/>
      <c r="O94" s="238" t="s"/>
      <c r="P94" s="238" t="s"/>
      <c r="Q94" s="238" t="s"/>
      <c r="R94" s="239" t="s"/>
      <c r="S94" s="238" t="s"/>
      <c r="T94" s="238" t="s"/>
      <c r="U94" s="238" t="s"/>
      <c r="V94" s="238" t="s"/>
      <c r="W94" s="238" t="s"/>
      <c r="X94" s="240" t="s"/>
    </row>
    <row r="95" spans="1:24">
      <c r="A95" s="240" t="s"/>
      <c r="B95" s="238" t="s"/>
      <c r="C95" s="238" t="s"/>
      <c r="D95" s="238" t="s"/>
      <c r="E95" s="238" t="s"/>
      <c r="F95" s="238" t="s"/>
      <c r="G95" s="238" t="s"/>
      <c r="H95" s="238" t="s"/>
      <c r="I95" s="238" t="s"/>
      <c r="J95" s="238" t="s"/>
      <c r="K95" s="238" t="s"/>
      <c r="L95" s="238" t="s"/>
      <c r="M95" s="238" t="s"/>
      <c r="N95" s="238" t="s"/>
      <c r="O95" s="238" t="s"/>
      <c r="P95" s="238" t="s"/>
      <c r="Q95" s="238" t="s"/>
      <c r="R95" s="239" t="s"/>
      <c r="S95" s="238" t="s"/>
      <c r="T95" s="238" t="s"/>
      <c r="U95" s="238" t="s"/>
      <c r="V95" s="238" t="s"/>
      <c r="W95" s="238" t="s"/>
      <c r="X95" s="240" t="s"/>
    </row>
    <row r="96" spans="1:24">
      <c r="A96" s="240" t="s"/>
      <c r="B96" s="238" t="s"/>
      <c r="C96" s="238" t="s"/>
      <c r="D96" s="238" t="s"/>
      <c r="E96" s="238" t="s"/>
      <c r="F96" s="238" t="s"/>
      <c r="G96" s="238" t="s"/>
      <c r="H96" s="238" t="s"/>
      <c r="I96" s="238" t="s"/>
      <c r="J96" s="238" t="s"/>
      <c r="K96" s="238" t="s"/>
      <c r="L96" s="238" t="s"/>
      <c r="M96" s="238" t="s"/>
      <c r="N96" s="238" t="s"/>
      <c r="O96" s="238" t="s"/>
      <c r="P96" s="238" t="s"/>
      <c r="Q96" s="238" t="s"/>
      <c r="R96" s="239" t="s"/>
      <c r="S96" s="238" t="s"/>
      <c r="T96" s="238" t="s"/>
      <c r="U96" s="238" t="s"/>
      <c r="V96" s="238" t="s"/>
      <c r="W96" s="238" t="s"/>
      <c r="X96" s="240" t="s"/>
    </row>
    <row r="97" spans="1:24">
      <c r="A97" s="240" t="s"/>
      <c r="B97" s="238" t="s"/>
      <c r="C97" s="238" t="s"/>
      <c r="D97" s="238" t="s"/>
      <c r="E97" s="238" t="s"/>
      <c r="F97" s="238" t="s"/>
      <c r="G97" s="238" t="s"/>
      <c r="H97" s="238" t="s"/>
      <c r="I97" s="238" t="s"/>
      <c r="J97" s="238" t="s"/>
      <c r="K97" s="238" t="s"/>
      <c r="L97" s="238" t="s"/>
      <c r="M97" s="238" t="s"/>
      <c r="N97" s="238" t="s"/>
      <c r="O97" s="238" t="s"/>
      <c r="P97" s="238" t="s"/>
      <c r="Q97" s="238" t="s"/>
      <c r="R97" s="239" t="s"/>
      <c r="S97" s="238" t="s"/>
      <c r="T97" s="238" t="s"/>
      <c r="U97" s="238" t="s"/>
      <c r="V97" s="238" t="s"/>
      <c r="W97" s="238" t="s"/>
      <c r="X97" s="240" t="s"/>
    </row>
    <row r="98" spans="1:24">
      <c r="A98" s="240" t="s"/>
      <c r="B98" s="238" t="s"/>
      <c r="C98" s="238" t="s"/>
      <c r="D98" s="238" t="s"/>
      <c r="E98" s="238" t="s"/>
      <c r="F98" s="238" t="s"/>
      <c r="G98" s="238" t="s"/>
      <c r="H98" s="238" t="s"/>
      <c r="I98" s="238" t="s"/>
      <c r="J98" s="238" t="s"/>
      <c r="K98" s="238" t="s"/>
      <c r="L98" s="238" t="s"/>
      <c r="M98" s="238" t="s"/>
      <c r="N98" s="238" t="s"/>
      <c r="O98" s="238" t="s"/>
      <c r="P98" s="238" t="s"/>
      <c r="Q98" s="238" t="s"/>
      <c r="R98" s="239" t="s"/>
      <c r="S98" s="238" t="s"/>
      <c r="T98" s="238" t="s"/>
      <c r="U98" s="238" t="s"/>
      <c r="V98" s="238" t="s"/>
      <c r="W98" s="238" t="s"/>
      <c r="X98" s="240" t="s"/>
    </row>
    <row r="99" spans="1:24">
      <c r="A99" s="240" t="s"/>
      <c r="B99" s="238" t="s"/>
      <c r="C99" s="238" t="s"/>
      <c r="D99" s="238" t="s"/>
      <c r="E99" s="238" t="s"/>
      <c r="F99" s="238" t="s"/>
      <c r="G99" s="238" t="s"/>
      <c r="H99" s="238" t="s"/>
      <c r="I99" s="238" t="s"/>
      <c r="J99" s="238" t="s"/>
      <c r="K99" s="238" t="s"/>
      <c r="L99" s="238" t="s"/>
      <c r="M99" s="238" t="s"/>
      <c r="N99" s="238" t="s"/>
      <c r="O99" s="238" t="s"/>
      <c r="P99" s="238" t="s"/>
      <c r="Q99" s="238" t="s"/>
      <c r="R99" s="239" t="s"/>
      <c r="S99" s="238" t="s"/>
      <c r="T99" s="238" t="s"/>
      <c r="U99" s="238" t="s"/>
      <c r="V99" s="238" t="s"/>
      <c r="W99" s="238" t="s"/>
      <c r="X99" s="240" t="s"/>
    </row>
    <row r="100" spans="1:24">
      <c r="A100" s="240" t="s"/>
      <c r="B100" s="238" t="s"/>
      <c r="C100" s="238" t="s"/>
      <c r="D100" s="238" t="s"/>
      <c r="E100" s="238" t="s"/>
      <c r="F100" s="238" t="s"/>
      <c r="G100" s="238" t="s"/>
      <c r="H100" s="238" t="s"/>
      <c r="I100" s="238" t="s"/>
      <c r="J100" s="238" t="s"/>
      <c r="K100" s="238" t="s"/>
      <c r="L100" s="238" t="s"/>
      <c r="M100" s="238" t="s"/>
      <c r="N100" s="238" t="s"/>
      <c r="O100" s="238" t="s"/>
      <c r="P100" s="238" t="s"/>
      <c r="Q100" s="238" t="s"/>
      <c r="R100" s="239" t="s"/>
      <c r="S100" s="238" t="s"/>
      <c r="T100" s="238" t="s"/>
      <c r="U100" s="238" t="s"/>
      <c r="V100" s="238" t="s"/>
      <c r="W100" s="238" t="s"/>
      <c r="X100" s="240" t="s"/>
    </row>
    <row r="101" spans="1:24">
      <c r="A101" s="240" t="s"/>
      <c r="B101" s="238" t="s"/>
      <c r="C101" s="238" t="s"/>
      <c r="D101" s="238" t="s"/>
      <c r="E101" s="238" t="s"/>
      <c r="F101" s="238" t="s"/>
      <c r="G101" s="238" t="s"/>
      <c r="H101" s="238" t="s"/>
      <c r="I101" s="238" t="s"/>
      <c r="J101" s="238" t="s"/>
      <c r="K101" s="238" t="s"/>
      <c r="L101" s="238" t="s"/>
      <c r="M101" s="238" t="s"/>
      <c r="N101" s="238" t="s"/>
      <c r="O101" s="238" t="s"/>
      <c r="P101" s="238" t="s"/>
      <c r="Q101" s="238" t="s"/>
      <c r="R101" s="239" t="s"/>
      <c r="S101" s="238" t="s"/>
      <c r="T101" s="238" t="s"/>
      <c r="U101" s="238" t="s"/>
      <c r="V101" s="238" t="s"/>
      <c r="W101" s="238" t="s"/>
      <c r="X101" s="240" t="s"/>
    </row>
    <row r="102" spans="1:24">
      <c r="A102" s="240" t="s"/>
      <c r="B102" s="238" t="s"/>
      <c r="C102" s="238" t="s"/>
      <c r="D102" s="238" t="s"/>
      <c r="E102" s="238" t="s"/>
      <c r="F102" s="238" t="s"/>
      <c r="G102" s="238" t="s"/>
      <c r="H102" s="238" t="s"/>
      <c r="I102" s="238" t="s"/>
      <c r="J102" s="238" t="s"/>
      <c r="K102" s="238" t="s"/>
      <c r="L102" s="238" t="s"/>
      <c r="M102" s="238" t="s"/>
      <c r="N102" s="238" t="s"/>
      <c r="O102" s="238" t="s"/>
      <c r="P102" s="238" t="s"/>
      <c r="Q102" s="238" t="s"/>
      <c r="R102" s="239" t="s"/>
      <c r="S102" s="238" t="s"/>
      <c r="T102" s="238" t="s"/>
      <c r="U102" s="238" t="s"/>
      <c r="V102" s="238" t="s"/>
      <c r="W102" s="238" t="s"/>
      <c r="X102" s="240" t="s"/>
    </row>
    <row r="103" spans="1:24">
      <c r="A103" s="240" t="s"/>
      <c r="B103" s="238" t="s"/>
      <c r="C103" s="238" t="s"/>
      <c r="D103" s="238" t="s"/>
      <c r="E103" s="238" t="s"/>
      <c r="F103" s="238" t="s"/>
      <c r="G103" s="238" t="s"/>
      <c r="H103" s="238" t="s"/>
      <c r="I103" s="238" t="s"/>
      <c r="J103" s="238" t="s"/>
      <c r="K103" s="238" t="s"/>
      <c r="L103" s="238" t="s"/>
      <c r="M103" s="238" t="s"/>
      <c r="N103" s="238" t="s"/>
      <c r="O103" s="238" t="s"/>
      <c r="P103" s="238" t="s"/>
      <c r="Q103" s="238" t="s"/>
      <c r="R103" s="239" t="s"/>
      <c r="S103" s="238" t="s"/>
      <c r="T103" s="238" t="s"/>
      <c r="U103" s="238" t="s"/>
      <c r="V103" s="238" t="s"/>
      <c r="W103" s="238" t="s"/>
      <c r="X103" s="240" t="s"/>
    </row>
    <row r="104" spans="1:24">
      <c r="A104" s="240" t="s"/>
      <c r="B104" s="238" t="s"/>
      <c r="C104" s="238" t="s"/>
      <c r="D104" s="238" t="s"/>
      <c r="E104" s="238" t="s"/>
      <c r="F104" s="238" t="s"/>
      <c r="G104" s="238" t="s"/>
      <c r="H104" s="238" t="s"/>
      <c r="I104" s="238" t="s"/>
      <c r="J104" s="238" t="s"/>
      <c r="K104" s="238" t="s"/>
      <c r="L104" s="238" t="s"/>
      <c r="M104" s="238" t="s"/>
      <c r="N104" s="238" t="s"/>
      <c r="O104" s="238" t="s"/>
      <c r="P104" s="238" t="s"/>
      <c r="Q104" s="238" t="s"/>
      <c r="R104" s="239" t="s"/>
      <c r="S104" s="238" t="s"/>
      <c r="T104" s="238" t="s"/>
      <c r="U104" s="238" t="s"/>
      <c r="V104" s="238" t="s"/>
      <c r="W104" s="238" t="s"/>
      <c r="X104" s="240" t="s"/>
    </row>
    <row r="105" spans="1:24">
      <c r="A105" s="240" t="s"/>
      <c r="B105" s="238" t="s"/>
      <c r="C105" s="238" t="s"/>
      <c r="D105" s="238" t="s"/>
      <c r="E105" s="238" t="s"/>
      <c r="F105" s="238" t="s"/>
      <c r="G105" s="238" t="s"/>
      <c r="H105" s="238" t="s"/>
      <c r="I105" s="238" t="s"/>
      <c r="J105" s="238" t="s"/>
      <c r="K105" s="238" t="s"/>
      <c r="L105" s="238" t="s"/>
      <c r="M105" s="238" t="s"/>
      <c r="N105" s="238" t="s"/>
      <c r="O105" s="238" t="s"/>
      <c r="P105" s="238" t="s"/>
      <c r="Q105" s="238" t="s"/>
      <c r="R105" s="239" t="s"/>
      <c r="S105" s="238" t="s"/>
      <c r="T105" s="238" t="s"/>
      <c r="U105" s="238" t="s"/>
      <c r="V105" s="238" t="s"/>
      <c r="W105" s="238" t="s"/>
      <c r="X105" s="240" t="s"/>
    </row>
    <row r="106" spans="1:24">
      <c r="A106" s="240" t="s"/>
      <c r="B106" s="238" t="s"/>
      <c r="C106" s="238" t="s"/>
      <c r="D106" s="238" t="s"/>
      <c r="E106" s="238" t="s"/>
      <c r="F106" s="238" t="s"/>
      <c r="G106" s="238" t="s"/>
      <c r="H106" s="238" t="s"/>
      <c r="I106" s="238" t="s"/>
      <c r="J106" s="238" t="s"/>
      <c r="K106" s="238" t="s"/>
      <c r="L106" s="238" t="s"/>
      <c r="M106" s="238" t="s"/>
      <c r="N106" s="238" t="s"/>
      <c r="O106" s="238" t="s"/>
      <c r="P106" s="238" t="s"/>
      <c r="Q106" s="238" t="s"/>
      <c r="R106" s="239" t="s"/>
      <c r="S106" s="238" t="s"/>
      <c r="T106" s="238" t="s"/>
      <c r="U106" s="238" t="s"/>
      <c r="V106" s="238" t="s"/>
      <c r="W106" s="238" t="s"/>
      <c r="X106" s="240" t="s"/>
    </row>
    <row r="107" spans="1:24">
      <c r="A107" s="240" t="s"/>
      <c r="B107" s="238" t="s"/>
      <c r="C107" s="238" t="s"/>
      <c r="D107" s="238" t="s"/>
      <c r="E107" s="238" t="s"/>
      <c r="F107" s="238" t="s"/>
      <c r="G107" s="238" t="s"/>
      <c r="H107" s="238" t="s"/>
      <c r="I107" s="238" t="s"/>
      <c r="J107" s="238" t="s"/>
      <c r="K107" s="238" t="s"/>
      <c r="L107" s="238" t="s"/>
      <c r="M107" s="238" t="s"/>
      <c r="N107" s="238" t="s"/>
      <c r="O107" s="238" t="s"/>
      <c r="P107" s="238" t="s"/>
      <c r="Q107" s="238" t="s"/>
      <c r="R107" s="239" t="s"/>
      <c r="S107" s="238" t="s"/>
      <c r="T107" s="238" t="s"/>
      <c r="U107" s="238" t="s"/>
      <c r="V107" s="238" t="s"/>
      <c r="W107" s="238" t="s"/>
      <c r="X107" s="240" t="s"/>
    </row>
    <row r="108" spans="1:24">
      <c r="A108" s="240" t="s"/>
      <c r="B108" s="238" t="s"/>
      <c r="C108" s="238" t="s"/>
      <c r="D108" s="238" t="s"/>
      <c r="E108" s="238" t="s"/>
      <c r="F108" s="238" t="s"/>
      <c r="G108" s="238" t="s"/>
      <c r="H108" s="238" t="s"/>
      <c r="I108" s="238" t="s"/>
      <c r="J108" s="238" t="s"/>
      <c r="K108" s="238" t="s"/>
      <c r="L108" s="238" t="s"/>
      <c r="M108" s="238" t="s"/>
      <c r="N108" s="238" t="s"/>
      <c r="O108" s="238" t="s"/>
      <c r="P108" s="238" t="s"/>
      <c r="Q108" s="238" t="s"/>
      <c r="R108" s="239" t="s"/>
      <c r="S108" s="238" t="s"/>
      <c r="T108" s="238" t="s"/>
      <c r="U108" s="238" t="s"/>
      <c r="V108" s="238" t="s"/>
      <c r="W108" s="238" t="s"/>
      <c r="X108" s="240" t="s"/>
    </row>
    <row r="109" spans="1:24">
      <c r="A109" s="240" t="s"/>
      <c r="B109" s="238" t="s"/>
      <c r="C109" s="238" t="s"/>
      <c r="D109" s="238" t="s"/>
      <c r="E109" s="238" t="s"/>
      <c r="F109" s="238" t="s"/>
      <c r="G109" s="238" t="s"/>
      <c r="H109" s="238" t="s"/>
      <c r="I109" s="238" t="s"/>
      <c r="J109" s="238" t="s"/>
      <c r="K109" s="238" t="s"/>
      <c r="L109" s="238" t="s"/>
      <c r="M109" s="238" t="s"/>
      <c r="N109" s="238" t="s"/>
      <c r="O109" s="238" t="s"/>
      <c r="P109" s="238" t="s"/>
      <c r="Q109" s="238" t="s"/>
      <c r="R109" s="239" t="s"/>
      <c r="S109" s="238" t="s"/>
      <c r="T109" s="238" t="s"/>
      <c r="U109" s="238" t="s"/>
      <c r="V109" s="238" t="s"/>
      <c r="W109" s="238" t="s"/>
      <c r="X109" s="240" t="s"/>
    </row>
    <row r="110" spans="1:24">
      <c r="A110" s="240" t="s"/>
      <c r="B110" s="238" t="s"/>
      <c r="C110" s="238" t="s"/>
      <c r="D110" s="238" t="s"/>
      <c r="E110" s="238" t="s"/>
      <c r="F110" s="238" t="s"/>
      <c r="G110" s="238" t="s"/>
      <c r="H110" s="238" t="s"/>
      <c r="I110" s="238" t="s"/>
      <c r="J110" s="238" t="s"/>
      <c r="K110" s="238" t="s"/>
      <c r="L110" s="238" t="s"/>
      <c r="M110" s="238" t="s"/>
      <c r="N110" s="238" t="s"/>
      <c r="O110" s="238" t="s"/>
      <c r="P110" s="238" t="s"/>
      <c r="Q110" s="238" t="s"/>
      <c r="R110" s="239" t="s"/>
      <c r="S110" s="238" t="s"/>
      <c r="T110" s="238" t="s"/>
      <c r="U110" s="238" t="s"/>
      <c r="V110" s="238" t="s"/>
      <c r="W110" s="238" t="s"/>
      <c r="X110" s="240" t="s"/>
    </row>
    <row r="111" spans="1:24">
      <c r="A111" s="240" t="s"/>
      <c r="B111" s="238" t="s"/>
      <c r="C111" s="238" t="s"/>
      <c r="D111" s="238" t="s"/>
      <c r="E111" s="238" t="s"/>
      <c r="F111" s="238" t="s"/>
      <c r="G111" s="238" t="s"/>
      <c r="H111" s="238" t="s"/>
      <c r="I111" s="238" t="s"/>
      <c r="J111" s="238" t="s"/>
      <c r="K111" s="238" t="s"/>
      <c r="L111" s="238" t="s"/>
      <c r="M111" s="238" t="s"/>
      <c r="N111" s="238" t="s"/>
      <c r="O111" s="238" t="s"/>
      <c r="P111" s="238" t="s"/>
      <c r="Q111" s="238" t="s"/>
      <c r="R111" s="239" t="s"/>
      <c r="S111" s="238" t="s"/>
      <c r="T111" s="238" t="s"/>
      <c r="U111" s="238" t="s"/>
      <c r="V111" s="238" t="s"/>
      <c r="W111" s="238" t="s"/>
      <c r="X111" s="240" t="s"/>
    </row>
    <row r="112" spans="1:24">
      <c r="A112" s="240" t="s"/>
      <c r="B112" s="238" t="s"/>
      <c r="C112" s="238" t="s"/>
      <c r="D112" s="238" t="s"/>
      <c r="E112" s="238" t="s"/>
      <c r="F112" s="238" t="s"/>
      <c r="G112" s="238" t="s"/>
      <c r="H112" s="238" t="s"/>
      <c r="I112" s="238" t="s"/>
      <c r="J112" s="238" t="s"/>
      <c r="K112" s="238" t="s"/>
      <c r="L112" s="238" t="s"/>
      <c r="M112" s="238" t="s"/>
      <c r="N112" s="238" t="s"/>
      <c r="O112" s="238" t="s"/>
      <c r="P112" s="238" t="s"/>
      <c r="Q112" s="238" t="s"/>
      <c r="R112" s="239" t="s"/>
      <c r="S112" s="238" t="s"/>
      <c r="T112" s="238" t="s"/>
      <c r="U112" s="238" t="s"/>
      <c r="V112" s="238" t="s"/>
      <c r="W112" s="238" t="s"/>
      <c r="X112" s="240" t="s"/>
    </row>
    <row r="113" spans="1:24">
      <c r="A113" s="240" t="s"/>
      <c r="B113" s="238" t="s"/>
      <c r="C113" s="238" t="s"/>
      <c r="D113" s="238" t="s"/>
      <c r="E113" s="238" t="s"/>
      <c r="F113" s="238" t="s"/>
      <c r="G113" s="238" t="s"/>
      <c r="H113" s="238" t="s"/>
      <c r="I113" s="238" t="s"/>
      <c r="J113" s="238" t="s"/>
      <c r="K113" s="238" t="s"/>
      <c r="L113" s="238" t="s"/>
      <c r="M113" s="238" t="s"/>
      <c r="N113" s="238" t="s"/>
      <c r="O113" s="238" t="s"/>
      <c r="P113" s="238" t="s"/>
      <c r="Q113" s="238" t="s"/>
      <c r="R113" s="239" t="s"/>
      <c r="S113" s="238" t="s"/>
      <c r="T113" s="238" t="s"/>
      <c r="U113" s="238" t="s"/>
      <c r="V113" s="238" t="s"/>
      <c r="W113" s="238" t="s"/>
      <c r="X113" s="240" t="s"/>
    </row>
    <row r="114" spans="1:24">
      <c r="A114" s="240" t="s"/>
      <c r="B114" s="238" t="s"/>
      <c r="C114" s="238" t="s"/>
      <c r="D114" s="238" t="s"/>
      <c r="E114" s="238" t="s"/>
      <c r="F114" s="238" t="s"/>
      <c r="G114" s="238" t="s"/>
      <c r="H114" s="238" t="s"/>
      <c r="I114" s="238" t="s"/>
      <c r="J114" s="238" t="s"/>
      <c r="K114" s="238" t="s"/>
      <c r="L114" s="238" t="s"/>
      <c r="M114" s="238" t="s"/>
      <c r="N114" s="238" t="s"/>
      <c r="O114" s="238" t="s"/>
      <c r="P114" s="238" t="s"/>
      <c r="Q114" s="238" t="s"/>
      <c r="R114" s="239" t="s"/>
      <c r="S114" s="238" t="s"/>
      <c r="T114" s="238" t="s"/>
      <c r="U114" s="238" t="s"/>
      <c r="V114" s="238" t="s"/>
      <c r="W114" s="238" t="s"/>
      <c r="X114" s="240" t="s"/>
    </row>
    <row r="115" spans="1:24">
      <c r="A115" s="240" t="s"/>
      <c r="B115" s="238" t="s"/>
      <c r="C115" s="238" t="s"/>
      <c r="D115" s="238" t="s"/>
      <c r="E115" s="238" t="s"/>
      <c r="F115" s="238" t="s"/>
      <c r="G115" s="238" t="s"/>
      <c r="H115" s="238" t="s"/>
      <c r="I115" s="238" t="s"/>
      <c r="J115" s="238" t="s"/>
      <c r="K115" s="238" t="s"/>
      <c r="L115" s="238" t="s"/>
      <c r="M115" s="238" t="s"/>
      <c r="N115" s="238" t="s"/>
      <c r="O115" s="238" t="s"/>
      <c r="P115" s="238" t="s"/>
      <c r="Q115" s="238" t="s"/>
      <c r="R115" s="239" t="s"/>
      <c r="S115" s="238" t="s"/>
      <c r="T115" s="238" t="s"/>
      <c r="U115" s="238" t="s"/>
      <c r="V115" s="238" t="s"/>
      <c r="W115" s="238" t="s"/>
      <c r="X115" s="240" t="s"/>
    </row>
    <row r="116" spans="1:24">
      <c r="A116" s="240" t="s"/>
      <c r="B116" s="238" t="s"/>
      <c r="C116" s="238" t="s"/>
      <c r="D116" s="238" t="s"/>
      <c r="E116" s="238" t="s"/>
      <c r="F116" s="238" t="s"/>
      <c r="G116" s="238" t="s"/>
      <c r="H116" s="238" t="s"/>
      <c r="I116" s="238" t="s"/>
      <c r="J116" s="238" t="s"/>
      <c r="K116" s="238" t="s"/>
      <c r="L116" s="238" t="s"/>
      <c r="M116" s="238" t="s"/>
      <c r="N116" s="238" t="s"/>
      <c r="O116" s="238" t="s"/>
      <c r="P116" s="238" t="s"/>
      <c r="Q116" s="238" t="s"/>
      <c r="R116" s="239" t="s"/>
      <c r="S116" s="238" t="s"/>
      <c r="T116" s="238" t="s"/>
      <c r="U116" s="238" t="s"/>
      <c r="V116" s="238" t="s"/>
      <c r="W116" s="238" t="s"/>
      <c r="X116" s="240" t="s"/>
    </row>
    <row r="117" spans="1:24">
      <c r="A117" s="240" t="s"/>
      <c r="B117" s="238" t="s"/>
      <c r="C117" s="238" t="s"/>
      <c r="D117" s="238" t="s"/>
      <c r="E117" s="238" t="s"/>
      <c r="F117" s="238" t="s"/>
      <c r="G117" s="238" t="s"/>
      <c r="H117" s="238" t="s"/>
      <c r="I117" s="238" t="s"/>
      <c r="J117" s="238" t="s"/>
      <c r="K117" s="238" t="s"/>
      <c r="L117" s="238" t="s"/>
      <c r="M117" s="238" t="s"/>
      <c r="N117" s="238" t="s"/>
      <c r="O117" s="238" t="s"/>
      <c r="P117" s="238" t="s"/>
      <c r="Q117" s="238" t="s"/>
      <c r="R117" s="239" t="s"/>
      <c r="S117" s="238" t="s"/>
      <c r="T117" s="238" t="s"/>
      <c r="U117" s="238" t="s"/>
      <c r="V117" s="238" t="s"/>
      <c r="W117" s="238" t="s"/>
      <c r="X117" s="240" t="s"/>
    </row>
    <row r="118" spans="1:24">
      <c r="A118" s="240" t="s"/>
      <c r="B118" s="238" t="s"/>
      <c r="C118" s="238" t="s"/>
      <c r="D118" s="238" t="s"/>
      <c r="E118" s="238" t="s"/>
      <c r="F118" s="238" t="s"/>
      <c r="G118" s="238" t="s"/>
      <c r="H118" s="238" t="s"/>
      <c r="I118" s="238" t="s"/>
      <c r="J118" s="238" t="s"/>
      <c r="K118" s="238" t="s"/>
      <c r="L118" s="238" t="s"/>
      <c r="M118" s="238" t="s"/>
      <c r="N118" s="238" t="s"/>
      <c r="O118" s="238" t="s"/>
      <c r="P118" s="238" t="s"/>
      <c r="Q118" s="238" t="s"/>
      <c r="R118" s="239" t="s"/>
      <c r="S118" s="238" t="s"/>
      <c r="T118" s="238" t="s"/>
      <c r="U118" s="238" t="s"/>
      <c r="V118" s="238" t="s"/>
      <c r="W118" s="238" t="s"/>
      <c r="X118" s="240" t="s"/>
    </row>
    <row r="119" spans="1:24">
      <c r="A119" s="240" t="s"/>
      <c r="B119" s="238" t="s"/>
      <c r="C119" s="238" t="s"/>
      <c r="D119" s="238" t="s"/>
      <c r="E119" s="238" t="s"/>
      <c r="F119" s="238" t="s"/>
      <c r="G119" s="238" t="s"/>
      <c r="H119" s="238" t="s"/>
      <c r="I119" s="238" t="s"/>
      <c r="J119" s="238" t="s"/>
      <c r="K119" s="238" t="s"/>
      <c r="L119" s="238" t="s"/>
      <c r="M119" s="238" t="s"/>
      <c r="N119" s="238" t="s"/>
      <c r="O119" s="238" t="s"/>
      <c r="P119" s="238" t="s"/>
      <c r="Q119" s="238" t="s"/>
      <c r="R119" s="239" t="s"/>
      <c r="S119" s="238" t="s"/>
      <c r="T119" s="238" t="s"/>
      <c r="U119" s="238" t="s"/>
      <c r="V119" s="238" t="s"/>
      <c r="W119" s="238" t="s"/>
      <c r="X119" s="240" t="s"/>
    </row>
    <row r="120" spans="1:24">
      <c r="A120" s="240" t="s"/>
      <c r="B120" s="238" t="s"/>
      <c r="C120" s="238" t="s"/>
      <c r="D120" s="238" t="s"/>
      <c r="E120" s="238" t="s"/>
      <c r="F120" s="238" t="s"/>
      <c r="G120" s="238" t="s"/>
      <c r="H120" s="238" t="s"/>
      <c r="I120" s="238" t="s"/>
      <c r="J120" s="238" t="s"/>
      <c r="K120" s="238" t="s"/>
      <c r="L120" s="238" t="s"/>
      <c r="M120" s="238" t="s"/>
      <c r="N120" s="238" t="s"/>
      <c r="O120" s="238" t="s"/>
      <c r="P120" s="238" t="s"/>
      <c r="Q120" s="238" t="s"/>
      <c r="R120" s="239" t="s"/>
      <c r="S120" s="238" t="s"/>
      <c r="T120" s="238" t="s"/>
      <c r="U120" s="238" t="s"/>
      <c r="V120" s="238" t="s"/>
      <c r="W120" s="238" t="s"/>
      <c r="X120" s="240" t="s"/>
    </row>
    <row r="121" spans="1:24">
      <c r="A121" s="240" t="s"/>
      <c r="B121" s="238" t="s"/>
      <c r="C121" s="238" t="s"/>
      <c r="D121" s="238" t="s"/>
      <c r="E121" s="238" t="s"/>
      <c r="F121" s="238" t="s"/>
      <c r="G121" s="238" t="s"/>
      <c r="H121" s="238" t="s"/>
      <c r="I121" s="238" t="s"/>
      <c r="J121" s="238" t="s"/>
      <c r="K121" s="238" t="s"/>
      <c r="L121" s="238" t="s"/>
      <c r="M121" s="238" t="s"/>
      <c r="N121" s="238" t="s"/>
      <c r="O121" s="238" t="s"/>
      <c r="P121" s="238" t="s"/>
      <c r="Q121" s="238" t="s"/>
      <c r="R121" s="239" t="s"/>
      <c r="S121" s="238" t="s"/>
      <c r="T121" s="238" t="s"/>
      <c r="U121" s="238" t="s"/>
      <c r="V121" s="238" t="s"/>
      <c r="W121" s="238" t="s"/>
      <c r="X121" s="240" t="s"/>
    </row>
    <row r="122" spans="1:24">
      <c r="A122" s="240" t="s"/>
      <c r="B122" s="238" t="s"/>
      <c r="C122" s="238" t="s"/>
      <c r="D122" s="238" t="s"/>
      <c r="E122" s="238" t="s"/>
      <c r="F122" s="238" t="s"/>
      <c r="G122" s="238" t="s"/>
      <c r="H122" s="238" t="s"/>
      <c r="I122" s="238" t="s"/>
      <c r="J122" s="238" t="s"/>
      <c r="K122" s="238" t="s"/>
      <c r="L122" s="238" t="s"/>
      <c r="M122" s="238" t="s"/>
      <c r="N122" s="238" t="s"/>
      <c r="O122" s="238" t="s"/>
      <c r="P122" s="238" t="s"/>
      <c r="Q122" s="238" t="s"/>
      <c r="R122" s="239" t="s"/>
      <c r="S122" s="238" t="s"/>
      <c r="T122" s="238" t="s"/>
      <c r="U122" s="238" t="s"/>
      <c r="V122" s="238" t="s"/>
      <c r="W122" s="238" t="s"/>
      <c r="X122" s="240" t="s"/>
    </row>
    <row r="123" spans="1:24">
      <c r="A123" s="240" t="s"/>
      <c r="B123" s="238" t="s"/>
      <c r="C123" s="238" t="s"/>
      <c r="D123" s="238" t="s"/>
      <c r="E123" s="238" t="s"/>
      <c r="F123" s="238" t="s"/>
      <c r="G123" s="238" t="s"/>
      <c r="H123" s="238" t="s"/>
      <c r="I123" s="238" t="s"/>
      <c r="J123" s="238" t="s"/>
      <c r="K123" s="238" t="s"/>
      <c r="L123" s="238" t="s"/>
      <c r="M123" s="238" t="s"/>
      <c r="N123" s="238" t="s"/>
      <c r="O123" s="238" t="s"/>
      <c r="P123" s="238" t="s"/>
      <c r="Q123" s="238" t="s"/>
      <c r="R123" s="239" t="s"/>
      <c r="S123" s="238" t="s"/>
      <c r="T123" s="238" t="s"/>
      <c r="U123" s="238" t="s"/>
      <c r="V123" s="238" t="s"/>
      <c r="W123" s="238" t="s"/>
      <c r="X123" s="240" t="s"/>
    </row>
    <row r="124" spans="1:24">
      <c r="A124" s="240" t="s"/>
      <c r="B124" s="238" t="s"/>
      <c r="C124" s="238" t="s"/>
      <c r="D124" s="238" t="s"/>
      <c r="E124" s="238" t="s"/>
      <c r="F124" s="238" t="s"/>
      <c r="G124" s="238" t="s"/>
      <c r="H124" s="238" t="s"/>
      <c r="I124" s="238" t="s"/>
      <c r="J124" s="238" t="s"/>
      <c r="K124" s="238" t="s"/>
      <c r="L124" s="238" t="s"/>
      <c r="M124" s="238" t="s"/>
      <c r="N124" s="238" t="s"/>
      <c r="O124" s="238" t="s"/>
      <c r="P124" s="238" t="s"/>
      <c r="Q124" s="238" t="s"/>
      <c r="R124" s="239" t="s"/>
      <c r="S124" s="238" t="s"/>
      <c r="T124" s="238" t="s"/>
      <c r="U124" s="238" t="s"/>
      <c r="V124" s="238" t="s"/>
      <c r="W124" s="238" t="s"/>
      <c r="X124" s="240" t="s"/>
    </row>
    <row r="125" spans="1:24">
      <c r="A125" s="240" t="s"/>
      <c r="B125" s="238" t="s"/>
      <c r="C125" s="238" t="s"/>
      <c r="D125" s="238" t="s"/>
      <c r="E125" s="238" t="s"/>
      <c r="F125" s="238" t="s"/>
      <c r="G125" s="238" t="s"/>
      <c r="H125" s="238" t="s"/>
      <c r="I125" s="238" t="s"/>
      <c r="J125" s="238" t="s"/>
      <c r="K125" s="238" t="s"/>
      <c r="L125" s="238" t="s"/>
      <c r="M125" s="238" t="s"/>
      <c r="N125" s="238" t="s"/>
      <c r="O125" s="238" t="s"/>
      <c r="P125" s="238" t="s"/>
      <c r="Q125" s="238" t="s"/>
      <c r="R125" s="239" t="s"/>
      <c r="S125" s="238" t="s"/>
      <c r="T125" s="238" t="s"/>
      <c r="U125" s="238" t="s"/>
      <c r="V125" s="238" t="s"/>
      <c r="W125" s="238" t="s"/>
      <c r="X125" s="240" t="s"/>
    </row>
    <row r="126" spans="1:24">
      <c r="A126" s="240" t="s"/>
      <c r="B126" s="238" t="s"/>
      <c r="C126" s="238" t="s"/>
      <c r="D126" s="238" t="s"/>
      <c r="E126" s="238" t="s"/>
      <c r="F126" s="238" t="s"/>
      <c r="G126" s="238" t="s"/>
      <c r="H126" s="238" t="s"/>
      <c r="I126" s="238" t="s"/>
      <c r="J126" s="238" t="s"/>
      <c r="K126" s="238" t="s"/>
      <c r="L126" s="238" t="s"/>
      <c r="M126" s="238" t="s"/>
      <c r="N126" s="238" t="s"/>
      <c r="O126" s="238" t="s"/>
      <c r="P126" s="238" t="s"/>
      <c r="Q126" s="238" t="s"/>
      <c r="R126" s="239" t="s"/>
      <c r="S126" s="238" t="s"/>
      <c r="T126" s="238" t="s"/>
      <c r="U126" s="238" t="s"/>
      <c r="V126" s="238" t="s"/>
      <c r="W126" s="238" t="s"/>
      <c r="X126" s="240" t="s"/>
    </row>
    <row r="127" spans="1:24">
      <c r="A127" s="240" t="s"/>
      <c r="B127" s="238" t="s"/>
      <c r="C127" s="238" t="s"/>
      <c r="D127" s="238" t="s"/>
      <c r="E127" s="238" t="s"/>
      <c r="F127" s="238" t="s"/>
      <c r="G127" s="238" t="s"/>
      <c r="H127" s="238" t="s"/>
      <c r="I127" s="238" t="s"/>
      <c r="J127" s="238" t="s"/>
      <c r="K127" s="238" t="s"/>
      <c r="L127" s="238" t="s"/>
      <c r="M127" s="238" t="s"/>
      <c r="N127" s="238" t="s"/>
      <c r="O127" s="238" t="s"/>
      <c r="P127" s="238" t="s"/>
      <c r="Q127" s="238" t="s"/>
      <c r="R127" s="239" t="s"/>
      <c r="S127" s="238" t="s"/>
      <c r="T127" s="238" t="s"/>
      <c r="U127" s="238" t="s"/>
      <c r="V127" s="238" t="s"/>
      <c r="W127" s="238" t="s"/>
      <c r="X127" s="240" t="s"/>
    </row>
    <row r="128" spans="1:24">
      <c r="A128" s="240" t="s"/>
      <c r="B128" s="238" t="s"/>
      <c r="C128" s="238" t="s"/>
      <c r="D128" s="238" t="s"/>
      <c r="E128" s="238" t="s"/>
      <c r="F128" s="238" t="s"/>
      <c r="G128" s="238" t="s"/>
      <c r="H128" s="238" t="s"/>
      <c r="I128" s="238" t="s"/>
      <c r="J128" s="238" t="s"/>
      <c r="K128" s="238" t="s"/>
      <c r="L128" s="238" t="s"/>
      <c r="M128" s="238" t="s"/>
      <c r="N128" s="238" t="s"/>
      <c r="O128" s="238" t="s"/>
      <c r="P128" s="238" t="s"/>
      <c r="Q128" s="238" t="s"/>
      <c r="R128" s="239" t="s"/>
      <c r="S128" s="238" t="s"/>
      <c r="T128" s="238" t="s"/>
      <c r="U128" s="238" t="s"/>
      <c r="V128" s="238" t="s"/>
      <c r="W128" s="238" t="s"/>
      <c r="X128" s="240" t="s"/>
    </row>
    <row r="129" spans="1:24">
      <c r="A129" s="240" t="s"/>
      <c r="B129" s="238" t="s"/>
      <c r="C129" s="238" t="s"/>
      <c r="D129" s="238" t="s"/>
      <c r="E129" s="238" t="s"/>
      <c r="F129" s="238" t="s"/>
      <c r="G129" s="238" t="s"/>
      <c r="H129" s="238" t="s"/>
      <c r="I129" s="238" t="s"/>
      <c r="J129" s="238" t="s"/>
      <c r="K129" s="238" t="s"/>
      <c r="L129" s="238" t="s"/>
      <c r="M129" s="238" t="s"/>
      <c r="N129" s="238" t="s"/>
      <c r="O129" s="238" t="s"/>
      <c r="P129" s="238" t="s"/>
      <c r="Q129" s="238" t="s"/>
      <c r="R129" s="239" t="s"/>
      <c r="S129" s="238" t="s"/>
      <c r="T129" s="238" t="s"/>
      <c r="U129" s="238" t="s"/>
      <c r="V129" s="238" t="s"/>
      <c r="W129" s="238" t="s"/>
      <c r="X129" s="240" t="s"/>
    </row>
    <row r="130" spans="1:24">
      <c r="A130" s="240" t="s"/>
      <c r="B130" s="238" t="s"/>
      <c r="C130" s="238" t="s"/>
      <c r="D130" s="238" t="s"/>
      <c r="E130" s="238" t="s"/>
      <c r="F130" s="238" t="s"/>
      <c r="G130" s="238" t="s"/>
      <c r="H130" s="238" t="s"/>
      <c r="I130" s="238" t="s"/>
      <c r="J130" s="238" t="s"/>
      <c r="K130" s="238" t="s"/>
      <c r="L130" s="238" t="s"/>
      <c r="M130" s="238" t="s"/>
      <c r="N130" s="238" t="s"/>
      <c r="O130" s="238" t="s"/>
      <c r="P130" s="238" t="s"/>
      <c r="Q130" s="238" t="s"/>
      <c r="R130" s="239" t="s"/>
      <c r="S130" s="238" t="s"/>
      <c r="T130" s="238" t="s"/>
      <c r="U130" s="238" t="s"/>
      <c r="V130" s="238" t="s"/>
      <c r="W130" s="238" t="s"/>
      <c r="X130" s="240" t="s"/>
    </row>
    <row r="131" spans="1:24">
      <c r="A131" s="240" t="s"/>
      <c r="B131" s="238" t="s"/>
      <c r="C131" s="238" t="s"/>
      <c r="D131" s="238" t="s"/>
      <c r="E131" s="238" t="s"/>
      <c r="F131" s="238" t="s"/>
      <c r="G131" s="238" t="s"/>
      <c r="H131" s="238" t="s"/>
      <c r="I131" s="238" t="s"/>
      <c r="J131" s="238" t="s"/>
      <c r="K131" s="238" t="s"/>
      <c r="L131" s="238" t="s"/>
      <c r="M131" s="238" t="s"/>
      <c r="N131" s="238" t="s"/>
      <c r="O131" s="238" t="s"/>
      <c r="P131" s="238" t="s"/>
      <c r="Q131" s="238" t="s"/>
      <c r="R131" s="239" t="s"/>
      <c r="S131" s="238" t="s"/>
      <c r="T131" s="238" t="s"/>
      <c r="U131" s="238" t="s"/>
      <c r="V131" s="238" t="s"/>
      <c r="W131" s="238" t="s"/>
      <c r="X131" s="240" t="s"/>
    </row>
    <row r="132" spans="1:24">
      <c r="A132" s="240" t="s"/>
      <c r="B132" s="238" t="s"/>
      <c r="C132" s="238" t="s"/>
      <c r="D132" s="238" t="s"/>
      <c r="E132" s="238" t="s"/>
      <c r="F132" s="238" t="s"/>
      <c r="G132" s="238" t="s"/>
      <c r="H132" s="238" t="s"/>
      <c r="I132" s="238" t="s"/>
      <c r="J132" s="238" t="s"/>
      <c r="K132" s="238" t="s"/>
      <c r="L132" s="238" t="s"/>
      <c r="M132" s="238" t="s"/>
      <c r="N132" s="238" t="s"/>
      <c r="O132" s="238" t="s"/>
      <c r="P132" s="238" t="s"/>
      <c r="Q132" s="238" t="s"/>
      <c r="R132" s="239" t="s"/>
      <c r="S132" s="238" t="s"/>
      <c r="T132" s="238" t="s"/>
      <c r="U132" s="238" t="s"/>
      <c r="V132" s="238" t="s"/>
      <c r="W132" s="238" t="s"/>
      <c r="X132" s="240" t="s"/>
    </row>
    <row r="133" spans="1:24">
      <c r="A133" s="240" t="s"/>
      <c r="B133" s="238" t="s"/>
      <c r="C133" s="238" t="s"/>
      <c r="D133" s="238" t="s"/>
      <c r="E133" s="238" t="s"/>
      <c r="F133" s="238" t="s"/>
      <c r="G133" s="238" t="s"/>
      <c r="H133" s="238" t="s"/>
      <c r="I133" s="238" t="s"/>
      <c r="J133" s="238" t="s"/>
      <c r="K133" s="238" t="s"/>
      <c r="L133" s="238" t="s"/>
      <c r="M133" s="238" t="s"/>
      <c r="N133" s="238" t="s"/>
      <c r="O133" s="238" t="s"/>
      <c r="P133" s="238" t="s"/>
      <c r="Q133" s="238" t="s"/>
      <c r="R133" s="239" t="s"/>
      <c r="S133" s="238" t="s"/>
      <c r="T133" s="238" t="s"/>
      <c r="U133" s="238" t="s"/>
      <c r="V133" s="238" t="s"/>
      <c r="W133" s="238" t="s"/>
      <c r="X133" s="240" t="s"/>
    </row>
    <row r="134" spans="1:24">
      <c r="A134" s="240" t="s"/>
      <c r="B134" s="238" t="s"/>
      <c r="C134" s="238" t="s"/>
      <c r="D134" s="238" t="s"/>
      <c r="E134" s="238" t="s"/>
      <c r="F134" s="238" t="s"/>
      <c r="G134" s="238" t="s"/>
      <c r="H134" s="238" t="s"/>
      <c r="I134" s="238" t="s"/>
      <c r="J134" s="238" t="s"/>
      <c r="K134" s="238" t="s"/>
      <c r="L134" s="238" t="s"/>
      <c r="M134" s="238" t="s"/>
      <c r="N134" s="238" t="s"/>
      <c r="O134" s="238" t="s"/>
      <c r="P134" s="238" t="s"/>
      <c r="Q134" s="238" t="s"/>
      <c r="R134" s="239" t="s"/>
      <c r="S134" s="238" t="s"/>
      <c r="T134" s="238" t="s"/>
      <c r="U134" s="238" t="s"/>
      <c r="V134" s="238" t="s"/>
      <c r="W134" s="238" t="s"/>
      <c r="X134" s="240" t="s"/>
    </row>
    <row r="135" spans="1:24">
      <c r="A135" s="240" t="s"/>
      <c r="B135" s="238" t="s"/>
      <c r="C135" s="238" t="s"/>
      <c r="D135" s="238" t="s"/>
      <c r="E135" s="238" t="s"/>
      <c r="F135" s="238" t="s"/>
      <c r="G135" s="238" t="s"/>
      <c r="H135" s="238" t="s"/>
      <c r="I135" s="238" t="s"/>
      <c r="J135" s="238" t="s"/>
      <c r="K135" s="238" t="s"/>
      <c r="L135" s="238" t="s"/>
      <c r="M135" s="238" t="s"/>
      <c r="N135" s="238" t="s"/>
      <c r="O135" s="238" t="s"/>
      <c r="P135" s="238" t="s"/>
      <c r="Q135" s="238" t="s"/>
      <c r="R135" s="239" t="s"/>
      <c r="S135" s="238" t="s"/>
      <c r="T135" s="238" t="s"/>
      <c r="U135" s="238" t="s"/>
      <c r="V135" s="238" t="s"/>
      <c r="W135" s="238" t="s"/>
      <c r="X135" s="240" t="s"/>
    </row>
    <row r="136" spans="1:24">
      <c r="A136" s="240" t="s"/>
      <c r="B136" s="238" t="s"/>
      <c r="C136" s="238" t="s"/>
      <c r="D136" s="238" t="s"/>
      <c r="E136" s="238" t="s"/>
      <c r="F136" s="238" t="s"/>
      <c r="G136" s="238" t="s"/>
      <c r="H136" s="238" t="s"/>
      <c r="I136" s="238" t="s"/>
      <c r="J136" s="238" t="s"/>
      <c r="K136" s="238" t="s"/>
      <c r="L136" s="238" t="s"/>
      <c r="M136" s="238" t="s"/>
      <c r="N136" s="238" t="s"/>
      <c r="O136" s="238" t="s"/>
      <c r="P136" s="238" t="s"/>
      <c r="Q136" s="238" t="s"/>
      <c r="R136" s="239" t="s"/>
      <c r="S136" s="238" t="s"/>
      <c r="T136" s="238" t="s"/>
      <c r="U136" s="238" t="s"/>
      <c r="V136" s="238" t="s"/>
      <c r="W136" s="238" t="s"/>
      <c r="X136" s="240" t="s"/>
    </row>
    <row r="137" spans="1:24">
      <c r="A137" s="240" t="s"/>
      <c r="B137" s="238" t="s"/>
      <c r="C137" s="238" t="s"/>
      <c r="D137" s="238" t="s"/>
      <c r="E137" s="238" t="s"/>
      <c r="F137" s="238" t="s"/>
      <c r="G137" s="238" t="s"/>
      <c r="H137" s="238" t="s"/>
      <c r="I137" s="238" t="s"/>
      <c r="J137" s="238" t="s"/>
      <c r="K137" s="238" t="s"/>
      <c r="L137" s="238" t="s"/>
      <c r="M137" s="238" t="s"/>
      <c r="N137" s="238" t="s"/>
      <c r="O137" s="238" t="s"/>
      <c r="P137" s="238" t="s"/>
      <c r="Q137" s="238" t="s"/>
      <c r="R137" s="239" t="s"/>
      <c r="S137" s="238" t="s"/>
      <c r="T137" s="238" t="s"/>
      <c r="U137" s="238" t="s"/>
      <c r="V137" s="238" t="s"/>
      <c r="W137" s="238" t="s"/>
      <c r="X137" s="240" t="s"/>
    </row>
    <row r="138" spans="1:24">
      <c r="A138" s="240" t="s"/>
      <c r="B138" s="238" t="s"/>
      <c r="C138" s="238" t="s"/>
      <c r="D138" s="238" t="s"/>
      <c r="E138" s="238" t="s"/>
      <c r="F138" s="238" t="s"/>
      <c r="G138" s="238" t="s"/>
      <c r="H138" s="238" t="s"/>
      <c r="I138" s="238" t="s"/>
      <c r="J138" s="238" t="s"/>
      <c r="K138" s="238" t="s"/>
      <c r="L138" s="238" t="s"/>
      <c r="M138" s="238" t="s"/>
      <c r="N138" s="238" t="s"/>
      <c r="O138" s="238" t="s"/>
      <c r="P138" s="238" t="s"/>
      <c r="Q138" s="238" t="s"/>
      <c r="R138" s="239" t="s"/>
      <c r="S138" s="238" t="s"/>
      <c r="T138" s="238" t="s"/>
      <c r="U138" s="238" t="s"/>
      <c r="V138" s="238" t="s"/>
      <c r="W138" s="238" t="s"/>
      <c r="X138" s="240" t="s"/>
    </row>
    <row r="139" spans="1:24">
      <c r="A139" s="240" t="s"/>
      <c r="B139" s="238" t="s"/>
      <c r="C139" s="238" t="s"/>
      <c r="D139" s="238" t="s"/>
      <c r="E139" s="238" t="s"/>
      <c r="F139" s="238" t="s"/>
      <c r="G139" s="238" t="s"/>
      <c r="H139" s="238" t="s"/>
      <c r="I139" s="238" t="s"/>
      <c r="J139" s="238" t="s"/>
      <c r="K139" s="238" t="s"/>
      <c r="L139" s="238" t="s"/>
      <c r="M139" s="238" t="s"/>
      <c r="N139" s="238" t="s"/>
      <c r="O139" s="238" t="s"/>
      <c r="P139" s="238" t="s"/>
      <c r="Q139" s="238" t="s"/>
      <c r="R139" s="239" t="s"/>
      <c r="S139" s="238" t="s"/>
      <c r="T139" s="238" t="s"/>
      <c r="U139" s="238" t="s"/>
      <c r="V139" s="238" t="s"/>
      <c r="W139" s="238" t="s"/>
      <c r="X139" s="240" t="s"/>
    </row>
    <row r="140" spans="1:24">
      <c r="A140" s="240" t="s"/>
      <c r="B140" s="238" t="s"/>
      <c r="C140" s="238" t="s"/>
      <c r="D140" s="238" t="s"/>
      <c r="E140" s="238" t="s"/>
      <c r="F140" s="238" t="s"/>
      <c r="G140" s="238" t="s"/>
      <c r="H140" s="238" t="s"/>
      <c r="I140" s="238" t="s"/>
      <c r="J140" s="238" t="s"/>
      <c r="K140" s="238" t="s"/>
      <c r="L140" s="238" t="s"/>
      <c r="M140" s="238" t="s"/>
      <c r="N140" s="238" t="s"/>
      <c r="O140" s="238" t="s"/>
      <c r="P140" s="238" t="s"/>
      <c r="Q140" s="238" t="s"/>
      <c r="R140" s="239" t="s"/>
      <c r="S140" s="238" t="s"/>
      <c r="T140" s="238" t="s"/>
      <c r="U140" s="238" t="s"/>
      <c r="V140" s="238" t="s"/>
      <c r="W140" s="238" t="s"/>
      <c r="X140" s="240" t="s"/>
    </row>
    <row r="141" spans="1:24">
      <c r="A141" s="240" t="s"/>
      <c r="B141" s="238" t="s"/>
      <c r="C141" s="238" t="s"/>
      <c r="D141" s="238" t="s"/>
      <c r="E141" s="238" t="s"/>
      <c r="F141" s="238" t="s"/>
      <c r="G141" s="238" t="s"/>
      <c r="H141" s="238" t="s"/>
      <c r="I141" s="238" t="s"/>
      <c r="J141" s="238" t="s"/>
      <c r="K141" s="238" t="s"/>
      <c r="L141" s="238" t="s"/>
      <c r="M141" s="238" t="s"/>
      <c r="N141" s="238" t="s"/>
      <c r="O141" s="238" t="s"/>
      <c r="P141" s="238" t="s"/>
      <c r="Q141" s="238" t="s"/>
      <c r="R141" s="239" t="s"/>
      <c r="S141" s="238" t="s"/>
      <c r="T141" s="238" t="s"/>
      <c r="U141" s="238" t="s"/>
      <c r="V141" s="238" t="s"/>
      <c r="W141" s="238" t="s"/>
      <c r="X141" s="240" t="s"/>
    </row>
    <row r="142" spans="1:24">
      <c r="A142" s="240" t="s"/>
      <c r="B142" s="238" t="s"/>
      <c r="C142" s="238" t="s"/>
      <c r="D142" s="238" t="s"/>
      <c r="E142" s="238" t="s"/>
      <c r="F142" s="238" t="s"/>
      <c r="G142" s="238" t="s"/>
      <c r="H142" s="238" t="s"/>
      <c r="I142" s="238" t="s"/>
      <c r="J142" s="238" t="s"/>
      <c r="K142" s="238" t="s"/>
      <c r="L142" s="238" t="s"/>
      <c r="M142" s="238" t="s"/>
      <c r="N142" s="238" t="s"/>
      <c r="O142" s="238" t="s"/>
      <c r="P142" s="238" t="s"/>
      <c r="Q142" s="238" t="s"/>
      <c r="R142" s="239" t="s"/>
      <c r="S142" s="238" t="s"/>
      <c r="T142" s="238" t="s"/>
      <c r="U142" s="238" t="s"/>
      <c r="V142" s="238" t="s"/>
      <c r="W142" s="238" t="s"/>
      <c r="X142" s="240" t="s"/>
    </row>
    <row r="143" spans="1:24">
      <c r="A143" s="240" t="s"/>
      <c r="B143" s="238" t="s"/>
      <c r="C143" s="238" t="s"/>
      <c r="D143" s="238" t="s"/>
      <c r="E143" s="238" t="s"/>
      <c r="F143" s="238" t="s"/>
      <c r="G143" s="238" t="s"/>
      <c r="H143" s="238" t="s"/>
      <c r="I143" s="238" t="s"/>
      <c r="J143" s="238" t="s"/>
      <c r="K143" s="238" t="s"/>
      <c r="L143" s="238" t="s"/>
      <c r="M143" s="238" t="s"/>
      <c r="N143" s="238" t="s"/>
      <c r="O143" s="238" t="s"/>
      <c r="P143" s="238" t="s"/>
      <c r="Q143" s="238" t="s"/>
      <c r="R143" s="239" t="s"/>
      <c r="S143" s="238" t="s"/>
      <c r="T143" s="238" t="s"/>
      <c r="U143" s="238" t="s"/>
      <c r="V143" s="238" t="s"/>
      <c r="W143" s="238" t="s"/>
      <c r="X143" s="240" t="s"/>
    </row>
    <row r="144" spans="1:24">
      <c r="A144" s="240" t="s"/>
      <c r="B144" s="238" t="s"/>
      <c r="C144" s="238" t="s"/>
      <c r="D144" s="238" t="s"/>
      <c r="E144" s="238" t="s"/>
      <c r="F144" s="238" t="s"/>
      <c r="G144" s="238" t="s"/>
      <c r="H144" s="238" t="s"/>
      <c r="I144" s="238" t="s"/>
      <c r="J144" s="238" t="s"/>
      <c r="K144" s="238" t="s"/>
      <c r="L144" s="238" t="s"/>
      <c r="M144" s="238" t="s"/>
      <c r="N144" s="238" t="s"/>
      <c r="O144" s="238" t="s"/>
      <c r="P144" s="238" t="s"/>
      <c r="Q144" s="238" t="s"/>
      <c r="R144" s="239" t="s"/>
      <c r="S144" s="238" t="s"/>
      <c r="T144" s="238" t="s"/>
      <c r="U144" s="238" t="s"/>
      <c r="V144" s="238" t="s"/>
      <c r="W144" s="238" t="s"/>
      <c r="X144" s="240" t="s"/>
    </row>
    <row r="145" spans="1:24">
      <c r="A145" s="240" t="s"/>
      <c r="B145" s="238" t="s"/>
      <c r="C145" s="238" t="s"/>
      <c r="D145" s="238" t="s"/>
      <c r="E145" s="238" t="s"/>
      <c r="F145" s="238" t="s"/>
      <c r="G145" s="238" t="s"/>
      <c r="H145" s="238" t="s"/>
      <c r="I145" s="238" t="s"/>
      <c r="J145" s="238" t="s"/>
      <c r="K145" s="238" t="s"/>
      <c r="L145" s="238" t="s"/>
      <c r="M145" s="238" t="s"/>
      <c r="N145" s="238" t="s"/>
      <c r="O145" s="238" t="s"/>
      <c r="P145" s="238" t="s"/>
      <c r="Q145" s="238" t="s"/>
      <c r="R145" s="239" t="s"/>
      <c r="S145" s="238" t="s"/>
      <c r="T145" s="238" t="s"/>
      <c r="U145" s="238" t="s"/>
      <c r="V145" s="238" t="s"/>
      <c r="W145" s="238" t="s"/>
      <c r="X145" s="240" t="s"/>
    </row>
    <row r="146" spans="1:24">
      <c r="A146" s="240" t="s"/>
      <c r="B146" s="238" t="s"/>
      <c r="C146" s="238" t="s"/>
      <c r="D146" s="238" t="s"/>
      <c r="E146" s="238" t="s"/>
      <c r="F146" s="238" t="s"/>
      <c r="G146" s="238" t="s"/>
      <c r="H146" s="238" t="s"/>
      <c r="I146" s="238" t="s"/>
      <c r="J146" s="238" t="s"/>
      <c r="K146" s="238" t="s"/>
      <c r="L146" s="238" t="s"/>
      <c r="M146" s="238" t="s"/>
      <c r="N146" s="238" t="s"/>
      <c r="O146" s="238" t="s"/>
      <c r="P146" s="238" t="s"/>
      <c r="Q146" s="238" t="s"/>
      <c r="R146" s="239" t="s"/>
      <c r="S146" s="238" t="s"/>
      <c r="T146" s="238" t="s"/>
      <c r="U146" s="238" t="s"/>
      <c r="V146" s="238" t="s"/>
      <c r="W146" s="238" t="s"/>
      <c r="X146" s="240" t="s"/>
    </row>
    <row r="147" spans="1:24">
      <c r="A147" s="240" t="s"/>
      <c r="B147" s="238" t="s"/>
      <c r="C147" s="238" t="s"/>
      <c r="D147" s="238" t="s"/>
      <c r="E147" s="238" t="s"/>
      <c r="F147" s="238" t="s"/>
      <c r="G147" s="238" t="s"/>
      <c r="H147" s="238" t="s"/>
      <c r="I147" s="238" t="s"/>
      <c r="J147" s="238" t="s"/>
      <c r="K147" s="238" t="s"/>
      <c r="L147" s="238" t="s"/>
      <c r="M147" s="238" t="s"/>
      <c r="N147" s="238" t="s"/>
      <c r="O147" s="238" t="s"/>
      <c r="P147" s="238" t="s"/>
      <c r="Q147" s="238" t="s"/>
      <c r="R147" s="239" t="s"/>
      <c r="S147" s="238" t="s"/>
      <c r="T147" s="238" t="s"/>
      <c r="U147" s="238" t="s"/>
      <c r="V147" s="238" t="s"/>
      <c r="W147" s="238" t="s"/>
      <c r="X147" s="240" t="s"/>
    </row>
    <row r="148" spans="1:24">
      <c r="A148" s="240" t="s"/>
      <c r="B148" s="238" t="s"/>
      <c r="C148" s="238" t="s"/>
      <c r="D148" s="238" t="s"/>
      <c r="E148" s="238" t="s"/>
      <c r="F148" s="238" t="s"/>
      <c r="G148" s="238" t="s"/>
      <c r="H148" s="238" t="s"/>
      <c r="I148" s="238" t="s"/>
      <c r="J148" s="238" t="s"/>
      <c r="K148" s="238" t="s"/>
      <c r="L148" s="238" t="s"/>
      <c r="M148" s="238" t="s"/>
      <c r="N148" s="238" t="s"/>
      <c r="O148" s="238" t="s"/>
      <c r="P148" s="238" t="s"/>
      <c r="Q148" s="238" t="s"/>
      <c r="R148" s="239" t="s"/>
      <c r="S148" s="238" t="s"/>
      <c r="T148" s="238" t="s"/>
      <c r="U148" s="238" t="s"/>
      <c r="V148" s="238" t="s"/>
      <c r="W148" s="238" t="s"/>
      <c r="X148" s="240" t="s"/>
    </row>
    <row r="149" spans="1:24">
      <c r="A149" s="240" t="s"/>
      <c r="B149" s="238" t="s"/>
      <c r="C149" s="238" t="s"/>
      <c r="D149" s="238" t="s"/>
      <c r="E149" s="238" t="s"/>
      <c r="F149" s="238" t="s"/>
      <c r="G149" s="238" t="s"/>
      <c r="H149" s="238" t="s"/>
      <c r="I149" s="238" t="s"/>
      <c r="J149" s="238" t="s"/>
      <c r="K149" s="238" t="s"/>
      <c r="L149" s="238" t="s"/>
      <c r="M149" s="238" t="s"/>
      <c r="N149" s="238" t="s"/>
      <c r="O149" s="238" t="s"/>
      <c r="P149" s="238" t="s"/>
      <c r="Q149" s="238" t="s"/>
      <c r="R149" s="239" t="s"/>
      <c r="S149" s="238" t="s"/>
      <c r="T149" s="238" t="s"/>
      <c r="U149" s="238" t="s"/>
      <c r="V149" s="238" t="s"/>
      <c r="W149" s="238" t="s"/>
      <c r="X149" s="240" t="s"/>
    </row>
    <row r="150" spans="1:24">
      <c r="A150" s="240" t="s"/>
      <c r="B150" s="238" t="s"/>
      <c r="C150" s="238" t="s"/>
      <c r="D150" s="238" t="s"/>
      <c r="E150" s="238" t="s"/>
      <c r="F150" s="238" t="s"/>
      <c r="G150" s="238" t="s"/>
      <c r="H150" s="238" t="s"/>
      <c r="I150" s="238" t="s"/>
      <c r="J150" s="238" t="s"/>
      <c r="K150" s="238" t="s"/>
      <c r="L150" s="238" t="s"/>
      <c r="M150" s="238" t="s"/>
      <c r="N150" s="238" t="s"/>
      <c r="O150" s="238" t="s"/>
      <c r="P150" s="238" t="s"/>
      <c r="Q150" s="238" t="s"/>
      <c r="R150" s="239" t="s"/>
      <c r="S150" s="238" t="s"/>
      <c r="T150" s="238" t="s"/>
      <c r="U150" s="238" t="s"/>
      <c r="V150" s="238" t="s"/>
      <c r="W150" s="238" t="s"/>
      <c r="X150" s="240" t="s"/>
    </row>
    <row r="151" spans="1:24">
      <c r="A151" s="240" t="s"/>
      <c r="B151" s="238" t="s"/>
      <c r="C151" s="238" t="s"/>
      <c r="D151" s="238" t="s"/>
      <c r="E151" s="238" t="s"/>
      <c r="F151" s="238" t="s"/>
      <c r="G151" s="238" t="s"/>
      <c r="H151" s="238" t="s"/>
      <c r="I151" s="238" t="s"/>
      <c r="J151" s="238" t="s"/>
      <c r="K151" s="238" t="s"/>
      <c r="L151" s="238" t="s"/>
      <c r="M151" s="238" t="s"/>
      <c r="N151" s="238" t="s"/>
      <c r="O151" s="238" t="s"/>
      <c r="P151" s="238" t="s"/>
      <c r="Q151" s="238" t="s"/>
      <c r="R151" s="239" t="s"/>
      <c r="S151" s="238" t="s"/>
      <c r="T151" s="238" t="s"/>
      <c r="U151" s="238" t="s"/>
      <c r="V151" s="238" t="s"/>
      <c r="W151" s="238" t="s"/>
      <c r="X151" s="240" t="s"/>
    </row>
    <row r="152" spans="1:24">
      <c r="A152" s="240" t="s"/>
      <c r="B152" s="238" t="s"/>
      <c r="C152" s="238" t="s"/>
      <c r="D152" s="238" t="s"/>
      <c r="E152" s="238" t="s"/>
      <c r="F152" s="238" t="s"/>
      <c r="G152" s="238" t="s"/>
      <c r="H152" s="238" t="s"/>
      <c r="I152" s="238" t="s"/>
      <c r="J152" s="238" t="s"/>
      <c r="K152" s="238" t="s"/>
      <c r="L152" s="238" t="s"/>
      <c r="M152" s="238" t="s"/>
      <c r="N152" s="238" t="s"/>
      <c r="O152" s="238" t="s"/>
      <c r="P152" s="238" t="s"/>
      <c r="Q152" s="238" t="s"/>
      <c r="R152" s="239" t="s"/>
      <c r="S152" s="238" t="s"/>
      <c r="T152" s="238" t="s"/>
      <c r="U152" s="238" t="s"/>
      <c r="V152" s="238" t="s"/>
      <c r="W152" s="238" t="s"/>
      <c r="X152" s="240" t="s"/>
    </row>
    <row r="153" spans="1:24">
      <c r="A153" s="240" t="s"/>
      <c r="B153" s="238" t="s"/>
      <c r="C153" s="238" t="s"/>
      <c r="D153" s="238" t="s"/>
      <c r="E153" s="238" t="s"/>
      <c r="F153" s="238" t="s"/>
      <c r="G153" s="238" t="s"/>
      <c r="H153" s="238" t="s"/>
      <c r="I153" s="238" t="s"/>
      <c r="J153" s="238" t="s"/>
      <c r="K153" s="238" t="s"/>
      <c r="L153" s="238" t="s"/>
      <c r="M153" s="238" t="s"/>
      <c r="N153" s="238" t="s"/>
      <c r="O153" s="238" t="s"/>
      <c r="P153" s="238" t="s"/>
      <c r="Q153" s="238" t="s"/>
      <c r="R153" s="239" t="s"/>
      <c r="S153" s="238" t="s"/>
      <c r="T153" s="238" t="s"/>
      <c r="U153" s="238" t="s"/>
      <c r="V153" s="238" t="s"/>
      <c r="W153" s="238" t="s"/>
      <c r="X153" s="240" t="s"/>
    </row>
    <row r="154" spans="1:24">
      <c r="A154" s="240" t="s"/>
      <c r="B154" s="238" t="s"/>
      <c r="C154" s="238" t="s"/>
      <c r="D154" s="238" t="s"/>
      <c r="E154" s="238" t="s"/>
      <c r="F154" s="238" t="s"/>
      <c r="G154" s="238" t="s"/>
      <c r="H154" s="238" t="s"/>
      <c r="I154" s="238" t="s"/>
      <c r="J154" s="238" t="s"/>
      <c r="K154" s="238" t="s"/>
      <c r="L154" s="238" t="s"/>
      <c r="M154" s="238" t="s"/>
      <c r="N154" s="238" t="s"/>
      <c r="O154" s="238" t="s"/>
      <c r="P154" s="238" t="s"/>
      <c r="Q154" s="238" t="s"/>
      <c r="R154" s="239" t="s"/>
      <c r="S154" s="238" t="s"/>
      <c r="T154" s="238" t="s"/>
      <c r="U154" s="238" t="s"/>
      <c r="V154" s="238" t="s"/>
      <c r="W154" s="238" t="s"/>
      <c r="X154" s="240" t="s"/>
    </row>
    <row r="155" spans="1:24">
      <c r="A155" s="240" t="s"/>
      <c r="B155" s="238" t="s"/>
      <c r="C155" s="238" t="s"/>
      <c r="D155" s="238" t="s"/>
      <c r="E155" s="238" t="s"/>
      <c r="F155" s="238" t="s"/>
      <c r="G155" s="238" t="s"/>
      <c r="H155" s="238" t="s"/>
      <c r="I155" s="238" t="s"/>
      <c r="J155" s="238" t="s"/>
      <c r="K155" s="238" t="s"/>
      <c r="L155" s="238" t="s"/>
      <c r="M155" s="238" t="s"/>
      <c r="N155" s="238" t="s"/>
      <c r="O155" s="238" t="s"/>
      <c r="P155" s="238" t="s"/>
      <c r="Q155" s="238" t="s"/>
      <c r="R155" s="239" t="s"/>
      <c r="S155" s="238" t="s"/>
      <c r="T155" s="238" t="s"/>
      <c r="U155" s="238" t="s"/>
      <c r="V155" s="238" t="s"/>
      <c r="W155" s="238" t="s"/>
      <c r="X155" s="240" t="s"/>
    </row>
    <row r="156" spans="1:24">
      <c r="A156" s="240" t="s"/>
      <c r="B156" s="238" t="s"/>
      <c r="C156" s="238" t="s"/>
      <c r="D156" s="238" t="s"/>
      <c r="E156" s="238" t="s"/>
      <c r="F156" s="238" t="s"/>
      <c r="G156" s="238" t="s"/>
      <c r="H156" s="238" t="s"/>
      <c r="I156" s="238" t="s"/>
      <c r="J156" s="238" t="s"/>
      <c r="K156" s="238" t="s"/>
      <c r="L156" s="238" t="s"/>
      <c r="M156" s="238" t="s"/>
      <c r="N156" s="238" t="s"/>
      <c r="O156" s="238" t="s"/>
      <c r="P156" s="238" t="s"/>
      <c r="Q156" s="238" t="s"/>
      <c r="R156" s="239" t="s"/>
      <c r="S156" s="238" t="s"/>
      <c r="T156" s="238" t="s"/>
      <c r="U156" s="238" t="s"/>
      <c r="V156" s="238" t="s"/>
      <c r="W156" s="238" t="s"/>
      <c r="X156" s="240" t="s"/>
    </row>
    <row r="157" spans="1:24">
      <c r="A157" s="240" t="s"/>
      <c r="B157" s="238" t="s"/>
      <c r="C157" s="238" t="s"/>
      <c r="D157" s="238" t="s"/>
      <c r="E157" s="238" t="s"/>
      <c r="F157" s="238" t="s"/>
      <c r="G157" s="238" t="s"/>
      <c r="H157" s="238" t="s"/>
      <c r="I157" s="238" t="s"/>
      <c r="J157" s="238" t="s"/>
      <c r="K157" s="238" t="s"/>
      <c r="L157" s="238" t="s"/>
      <c r="M157" s="238" t="s"/>
      <c r="N157" s="238" t="s"/>
      <c r="O157" s="238" t="s"/>
      <c r="P157" s="238" t="s"/>
      <c r="Q157" s="238" t="s"/>
      <c r="R157" s="239" t="s"/>
      <c r="S157" s="238" t="s"/>
      <c r="T157" s="238" t="s"/>
      <c r="U157" s="238" t="s"/>
      <c r="V157" s="238" t="s"/>
      <c r="W157" s="238" t="s"/>
      <c r="X157" s="240" t="s"/>
    </row>
    <row r="158" spans="1:24">
      <c r="A158" s="240" t="s"/>
      <c r="B158" s="238" t="s"/>
      <c r="C158" s="238" t="s"/>
      <c r="D158" s="238" t="s"/>
      <c r="E158" s="238" t="s"/>
      <c r="F158" s="238" t="s"/>
      <c r="G158" s="238" t="s"/>
      <c r="H158" s="238" t="s"/>
      <c r="I158" s="238" t="s"/>
      <c r="J158" s="238" t="s"/>
      <c r="K158" s="238" t="s"/>
      <c r="L158" s="238" t="s"/>
      <c r="M158" s="238" t="s"/>
      <c r="N158" s="238" t="s"/>
      <c r="O158" s="238" t="s"/>
      <c r="P158" s="238" t="s"/>
      <c r="Q158" s="238" t="s"/>
      <c r="R158" s="239" t="s"/>
      <c r="S158" s="238" t="s"/>
      <c r="T158" s="238" t="s"/>
      <c r="U158" s="238" t="s"/>
      <c r="V158" s="238" t="s"/>
      <c r="W158" s="238" t="s"/>
      <c r="X158" s="240" t="s"/>
    </row>
    <row r="159" spans="1:24">
      <c r="A159" s="240" t="s"/>
      <c r="B159" s="238" t="s"/>
      <c r="C159" s="238" t="s"/>
      <c r="D159" s="238" t="s"/>
      <c r="E159" s="238" t="s"/>
      <c r="F159" s="238" t="s"/>
      <c r="G159" s="238" t="s"/>
      <c r="H159" s="238" t="s"/>
      <c r="I159" s="238" t="s"/>
      <c r="J159" s="238" t="s"/>
      <c r="K159" s="238" t="s"/>
      <c r="L159" s="238" t="s"/>
      <c r="M159" s="238" t="s"/>
      <c r="N159" s="238" t="s"/>
      <c r="O159" s="238" t="s"/>
      <c r="P159" s="238" t="s"/>
      <c r="Q159" s="238" t="s"/>
      <c r="R159" s="239" t="s"/>
      <c r="S159" s="238" t="s"/>
      <c r="T159" s="238" t="s"/>
      <c r="U159" s="238" t="s"/>
      <c r="V159" s="238" t="s"/>
      <c r="W159" s="238" t="s"/>
      <c r="X159" s="240" t="s"/>
    </row>
    <row r="160" spans="1:24">
      <c r="A160" s="240" t="s"/>
      <c r="B160" s="238" t="s"/>
      <c r="C160" s="238" t="s"/>
      <c r="D160" s="238" t="s"/>
      <c r="E160" s="238" t="s"/>
      <c r="F160" s="238" t="s"/>
      <c r="G160" s="238" t="s"/>
      <c r="H160" s="238" t="s"/>
      <c r="I160" s="238" t="s"/>
      <c r="J160" s="238" t="s"/>
      <c r="K160" s="238" t="s"/>
      <c r="L160" s="238" t="s"/>
      <c r="M160" s="238" t="s"/>
      <c r="N160" s="238" t="s"/>
      <c r="O160" s="238" t="s"/>
      <c r="P160" s="238" t="s"/>
      <c r="Q160" s="238" t="s"/>
      <c r="R160" s="239" t="s"/>
      <c r="S160" s="238" t="s"/>
      <c r="T160" s="238" t="s"/>
      <c r="U160" s="238" t="s"/>
      <c r="V160" s="238" t="s"/>
      <c r="W160" s="238" t="s"/>
      <c r="X160" s="240" t="s"/>
    </row>
    <row r="161" spans="1:24">
      <c r="A161" s="240" t="s"/>
      <c r="B161" s="238" t="s"/>
      <c r="C161" s="238" t="s"/>
      <c r="D161" s="238" t="s"/>
      <c r="E161" s="238" t="s"/>
      <c r="F161" s="238" t="s"/>
      <c r="G161" s="238" t="s"/>
      <c r="H161" s="238" t="s"/>
      <c r="I161" s="238" t="s"/>
      <c r="J161" s="238" t="s"/>
      <c r="K161" s="238" t="s"/>
      <c r="L161" s="238" t="s"/>
      <c r="M161" s="238" t="s"/>
      <c r="N161" s="238" t="s"/>
      <c r="O161" s="238" t="s"/>
      <c r="P161" s="238" t="s"/>
      <c r="Q161" s="238" t="s"/>
      <c r="R161" s="239" t="s"/>
      <c r="S161" s="238" t="s"/>
      <c r="T161" s="238" t="s"/>
      <c r="U161" s="238" t="s"/>
      <c r="V161" s="238" t="s"/>
      <c r="W161" s="238" t="s"/>
      <c r="X161" s="240" t="s"/>
    </row>
    <row r="162" spans="1:24">
      <c r="A162" s="240" t="s"/>
      <c r="B162" s="238" t="s"/>
      <c r="C162" s="238" t="s"/>
      <c r="D162" s="238" t="s"/>
      <c r="E162" s="238" t="s"/>
      <c r="F162" s="238" t="s"/>
      <c r="G162" s="238" t="s"/>
      <c r="H162" s="238" t="s"/>
      <c r="I162" s="238" t="s"/>
      <c r="J162" s="238" t="s"/>
      <c r="K162" s="238" t="s"/>
      <c r="L162" s="238" t="s"/>
      <c r="M162" s="238" t="s"/>
      <c r="N162" s="238" t="s"/>
      <c r="O162" s="238" t="s"/>
      <c r="P162" s="238" t="s"/>
      <c r="Q162" s="238" t="s"/>
      <c r="R162" s="239" t="s"/>
      <c r="S162" s="238" t="s"/>
      <c r="T162" s="238" t="s"/>
      <c r="U162" s="238" t="s"/>
      <c r="V162" s="238" t="s"/>
      <c r="W162" s="238" t="s"/>
      <c r="X162" s="240" t="s"/>
    </row>
    <row r="163" spans="1:24">
      <c r="A163" s="240" t="s"/>
      <c r="B163" s="238" t="s"/>
      <c r="C163" s="238" t="s"/>
      <c r="D163" s="238" t="s"/>
      <c r="E163" s="238" t="s"/>
      <c r="F163" s="238" t="s"/>
      <c r="G163" s="238" t="s"/>
      <c r="H163" s="238" t="s"/>
      <c r="I163" s="238" t="s"/>
      <c r="J163" s="238" t="s"/>
      <c r="K163" s="238" t="s"/>
      <c r="L163" s="238" t="s"/>
      <c r="M163" s="238" t="s"/>
      <c r="N163" s="238" t="s"/>
      <c r="O163" s="238" t="s"/>
      <c r="P163" s="238" t="s"/>
      <c r="Q163" s="238" t="s"/>
      <c r="R163" s="239" t="s"/>
      <c r="S163" s="238" t="s"/>
      <c r="T163" s="238" t="s"/>
      <c r="U163" s="238" t="s"/>
      <c r="V163" s="238" t="s"/>
      <c r="W163" s="238" t="s"/>
      <c r="X163" s="240" t="s"/>
    </row>
    <row r="164" spans="1:24">
      <c r="A164" s="240" t="s"/>
      <c r="B164" s="238" t="s"/>
      <c r="C164" s="238" t="s"/>
      <c r="D164" s="238" t="s"/>
      <c r="E164" s="238" t="s"/>
      <c r="F164" s="238" t="s"/>
      <c r="G164" s="238" t="s"/>
      <c r="H164" s="238" t="s"/>
      <c r="I164" s="238" t="s"/>
      <c r="J164" s="238" t="s"/>
      <c r="K164" s="238" t="s"/>
      <c r="L164" s="238" t="s"/>
      <c r="M164" s="238" t="s"/>
      <c r="N164" s="238" t="s"/>
      <c r="O164" s="238" t="s"/>
      <c r="P164" s="238" t="s"/>
      <c r="Q164" s="238" t="s"/>
      <c r="R164" s="239" t="s"/>
      <c r="S164" s="238" t="s"/>
      <c r="T164" s="238" t="s"/>
      <c r="U164" s="238" t="s"/>
      <c r="V164" s="238" t="s"/>
      <c r="W164" s="238" t="s"/>
      <c r="X164" s="240" t="s"/>
    </row>
    <row r="165" spans="1:24">
      <c r="A165" s="240" t="s"/>
      <c r="B165" s="238" t="s"/>
      <c r="C165" s="238" t="s"/>
      <c r="D165" s="238" t="s"/>
      <c r="E165" s="238" t="s"/>
      <c r="F165" s="238" t="s"/>
      <c r="G165" s="238" t="s"/>
      <c r="H165" s="238" t="s"/>
      <c r="I165" s="238" t="s"/>
      <c r="J165" s="238" t="s"/>
      <c r="K165" s="238" t="s"/>
      <c r="L165" s="238" t="s"/>
      <c r="M165" s="238" t="s"/>
      <c r="N165" s="238" t="s"/>
      <c r="O165" s="238" t="s"/>
      <c r="P165" s="238" t="s"/>
      <c r="Q165" s="238" t="s"/>
      <c r="R165" s="239" t="s"/>
      <c r="S165" s="238" t="s"/>
      <c r="T165" s="238" t="s"/>
      <c r="U165" s="238" t="s"/>
      <c r="V165" s="238" t="s"/>
      <c r="W165" s="238" t="s"/>
      <c r="X165" s="240" t="s"/>
    </row>
    <row r="166" spans="1:24">
      <c r="A166" s="240" t="s"/>
      <c r="B166" s="238" t="s"/>
      <c r="C166" s="238" t="s"/>
      <c r="D166" s="238" t="s"/>
      <c r="E166" s="238" t="s"/>
      <c r="F166" s="238" t="s"/>
      <c r="G166" s="238" t="s"/>
      <c r="H166" s="238" t="s"/>
      <c r="I166" s="238" t="s"/>
      <c r="J166" s="238" t="s"/>
      <c r="K166" s="238" t="s"/>
      <c r="L166" s="238" t="s"/>
      <c r="M166" s="238" t="s"/>
      <c r="N166" s="238" t="s"/>
      <c r="O166" s="238" t="s"/>
      <c r="P166" s="238" t="s"/>
      <c r="Q166" s="238" t="s"/>
      <c r="R166" s="239" t="s"/>
      <c r="S166" s="238" t="s"/>
      <c r="T166" s="238" t="s"/>
      <c r="U166" s="238" t="s"/>
      <c r="V166" s="238" t="s"/>
      <c r="W166" s="238" t="s"/>
      <c r="X166" s="240" t="s"/>
    </row>
    <row r="167" spans="1:24">
      <c r="A167" s="240" t="s"/>
      <c r="B167" s="238" t="s"/>
      <c r="C167" s="238" t="s"/>
      <c r="D167" s="238" t="s"/>
      <c r="E167" s="238" t="s"/>
      <c r="F167" s="238" t="s"/>
      <c r="G167" s="238" t="s"/>
      <c r="H167" s="238" t="s"/>
      <c r="I167" s="238" t="s"/>
      <c r="J167" s="238" t="s"/>
      <c r="K167" s="238" t="s"/>
      <c r="L167" s="238" t="s"/>
      <c r="M167" s="238" t="s"/>
      <c r="N167" s="238" t="s"/>
      <c r="O167" s="238" t="s"/>
      <c r="P167" s="238" t="s"/>
      <c r="Q167" s="238" t="s"/>
      <c r="R167" s="239" t="s"/>
      <c r="S167" s="238" t="s"/>
      <c r="T167" s="238" t="s"/>
      <c r="U167" s="238" t="s"/>
      <c r="V167" s="238" t="s"/>
      <c r="W167" s="238" t="s"/>
      <c r="X167" s="240" t="s"/>
    </row>
    <row r="168" spans="1:24">
      <c r="A168" s="240" t="s"/>
      <c r="B168" s="238" t="s"/>
      <c r="C168" s="238" t="s"/>
      <c r="D168" s="238" t="s"/>
      <c r="E168" s="238" t="s"/>
      <c r="F168" s="238" t="s"/>
      <c r="G168" s="238" t="s"/>
      <c r="H168" s="238" t="s"/>
      <c r="I168" s="238" t="s"/>
      <c r="J168" s="238" t="s"/>
      <c r="K168" s="238" t="s"/>
      <c r="L168" s="238" t="s"/>
      <c r="M168" s="238" t="s"/>
      <c r="N168" s="238" t="s"/>
      <c r="O168" s="238" t="s"/>
      <c r="P168" s="238" t="s"/>
      <c r="Q168" s="238" t="s"/>
      <c r="R168" s="239" t="s"/>
      <c r="S168" s="238" t="s"/>
      <c r="T168" s="238" t="s"/>
      <c r="U168" s="238" t="s"/>
      <c r="V168" s="238" t="s"/>
      <c r="W168" s="238" t="s"/>
      <c r="X168" s="240" t="s"/>
    </row>
    <row r="169" spans="1:24">
      <c r="A169" s="240" t="s"/>
      <c r="B169" s="238" t="s"/>
      <c r="C169" s="238" t="s"/>
      <c r="D169" s="238" t="s"/>
      <c r="E169" s="238" t="s"/>
      <c r="F169" s="238" t="s"/>
      <c r="G169" s="238" t="s"/>
      <c r="H169" s="238" t="s"/>
      <c r="I169" s="238" t="s"/>
      <c r="J169" s="238" t="s"/>
      <c r="K169" s="238" t="s"/>
      <c r="L169" s="238" t="s"/>
      <c r="M169" s="238" t="s"/>
      <c r="N169" s="238" t="s"/>
      <c r="O169" s="238" t="s"/>
      <c r="P169" s="238" t="s"/>
      <c r="Q169" s="238" t="s"/>
      <c r="R169" s="239" t="s"/>
      <c r="S169" s="238" t="s"/>
      <c r="T169" s="238" t="s"/>
      <c r="U169" s="238" t="s"/>
      <c r="V169" s="238" t="s"/>
      <c r="W169" s="238" t="s"/>
      <c r="X169" s="240" t="s"/>
    </row>
    <row r="170" spans="1:24">
      <c r="A170" s="240" t="s"/>
      <c r="B170" s="238" t="s"/>
      <c r="C170" s="238" t="s"/>
      <c r="D170" s="238" t="s"/>
      <c r="E170" s="238" t="s"/>
      <c r="F170" s="238" t="s"/>
      <c r="G170" s="238" t="s"/>
      <c r="H170" s="238" t="s"/>
      <c r="I170" s="238" t="s"/>
      <c r="J170" s="238" t="s"/>
      <c r="K170" s="238" t="s"/>
      <c r="L170" s="238" t="s"/>
      <c r="M170" s="238" t="s"/>
      <c r="N170" s="238" t="s"/>
      <c r="O170" s="238" t="s"/>
      <c r="P170" s="238" t="s"/>
      <c r="Q170" s="238" t="s"/>
      <c r="R170" s="239" t="s"/>
      <c r="S170" s="238" t="s"/>
      <c r="T170" s="238" t="s"/>
      <c r="U170" s="238" t="s"/>
      <c r="V170" s="238" t="s"/>
      <c r="W170" s="238" t="s"/>
      <c r="X170" s="240" t="s"/>
    </row>
    <row r="171" spans="1:24">
      <c r="A171" s="240" t="s"/>
      <c r="B171" s="238" t="s"/>
      <c r="C171" s="238" t="s"/>
      <c r="D171" s="238" t="s"/>
      <c r="E171" s="238" t="s"/>
      <c r="F171" s="238" t="s"/>
      <c r="G171" s="238" t="s"/>
      <c r="H171" s="238" t="s"/>
      <c r="I171" s="238" t="s"/>
      <c r="J171" s="238" t="s"/>
      <c r="K171" s="238" t="s"/>
      <c r="L171" s="238" t="s"/>
      <c r="M171" s="238" t="s"/>
      <c r="N171" s="238" t="s"/>
      <c r="O171" s="238" t="s"/>
      <c r="P171" s="238" t="s"/>
      <c r="Q171" s="238" t="s"/>
      <c r="R171" s="239" t="s"/>
      <c r="S171" s="238" t="s"/>
      <c r="T171" s="238" t="s"/>
      <c r="U171" s="238" t="s"/>
      <c r="V171" s="238" t="s"/>
      <c r="W171" s="238" t="s"/>
      <c r="X171" s="240" t="s"/>
    </row>
    <row r="172" spans="1:24">
      <c r="A172" s="240" t="s"/>
      <c r="B172" s="238" t="s"/>
      <c r="C172" s="238" t="s"/>
      <c r="D172" s="238" t="s"/>
      <c r="E172" s="238" t="s"/>
      <c r="F172" s="238" t="s"/>
      <c r="G172" s="238" t="s"/>
      <c r="H172" s="238" t="s"/>
      <c r="I172" s="238" t="s"/>
      <c r="J172" s="238" t="s"/>
      <c r="K172" s="238" t="s"/>
      <c r="L172" s="238" t="s"/>
      <c r="M172" s="238" t="s"/>
      <c r="N172" s="238" t="s"/>
      <c r="O172" s="238" t="s"/>
      <c r="P172" s="238" t="s"/>
      <c r="Q172" s="238" t="s"/>
      <c r="R172" s="239" t="s"/>
      <c r="S172" s="238" t="s"/>
      <c r="T172" s="238" t="s"/>
      <c r="U172" s="238" t="s"/>
      <c r="V172" s="238" t="s"/>
      <c r="W172" s="238" t="s"/>
      <c r="X172" s="240" t="s"/>
    </row>
    <row r="173" spans="1:24">
      <c r="A173" s="240" t="s"/>
      <c r="B173" s="238" t="s"/>
      <c r="C173" s="238" t="s"/>
      <c r="D173" s="238" t="s"/>
      <c r="E173" s="238" t="s"/>
      <c r="F173" s="238" t="s"/>
      <c r="G173" s="238" t="s"/>
      <c r="H173" s="238" t="s"/>
      <c r="I173" s="238" t="s"/>
      <c r="J173" s="238" t="s"/>
      <c r="K173" s="238" t="s"/>
      <c r="L173" s="238" t="s"/>
      <c r="M173" s="238" t="s"/>
      <c r="N173" s="238" t="s"/>
      <c r="O173" s="238" t="s"/>
      <c r="P173" s="238" t="s"/>
      <c r="Q173" s="238" t="s"/>
      <c r="R173" s="239" t="s"/>
      <c r="S173" s="238" t="s"/>
      <c r="T173" s="238" t="s"/>
      <c r="U173" s="238" t="s"/>
      <c r="V173" s="238" t="s"/>
      <c r="W173" s="238" t="s"/>
      <c r="X173" s="240" t="s"/>
    </row>
    <row r="174" spans="1:24">
      <c r="A174" s="240" t="s"/>
      <c r="B174" s="238" t="s"/>
      <c r="C174" s="238" t="s"/>
      <c r="D174" s="238" t="s"/>
      <c r="E174" s="238" t="s"/>
      <c r="F174" s="238" t="s"/>
      <c r="G174" s="238" t="s"/>
      <c r="H174" s="238" t="s"/>
      <c r="I174" s="238" t="s"/>
      <c r="J174" s="238" t="s"/>
      <c r="K174" s="238" t="s"/>
      <c r="L174" s="238" t="s"/>
      <c r="M174" s="238" t="s"/>
      <c r="N174" s="238" t="s"/>
      <c r="O174" s="238" t="s"/>
      <c r="P174" s="238" t="s"/>
      <c r="Q174" s="238" t="s"/>
      <c r="R174" s="239" t="s"/>
      <c r="S174" s="238" t="s"/>
      <c r="T174" s="238" t="s"/>
      <c r="U174" s="238" t="s"/>
      <c r="V174" s="238" t="s"/>
      <c r="W174" s="238" t="s"/>
      <c r="X174" s="240" t="s"/>
    </row>
    <row r="175" spans="1:24">
      <c r="A175" s="240" t="s"/>
      <c r="B175" s="238" t="s"/>
      <c r="C175" s="238" t="s"/>
      <c r="D175" s="238" t="s"/>
      <c r="E175" s="238" t="s"/>
      <c r="F175" s="238" t="s"/>
      <c r="G175" s="238" t="s"/>
      <c r="H175" s="238" t="s"/>
      <c r="I175" s="238" t="s"/>
      <c r="J175" s="238" t="s"/>
      <c r="K175" s="238" t="s"/>
      <c r="L175" s="238" t="s"/>
      <c r="M175" s="238" t="s"/>
      <c r="N175" s="238" t="s"/>
      <c r="O175" s="238" t="s"/>
      <c r="P175" s="238" t="s"/>
      <c r="Q175" s="238" t="s"/>
      <c r="R175" s="239" t="s"/>
      <c r="S175" s="238" t="s"/>
      <c r="T175" s="238" t="s"/>
      <c r="U175" s="238" t="s"/>
      <c r="V175" s="238" t="s"/>
      <c r="W175" s="238" t="s"/>
      <c r="X175" s="240" t="s"/>
    </row>
    <row r="176" spans="1:24">
      <c r="A176" s="240" t="s"/>
      <c r="B176" s="238" t="s"/>
      <c r="C176" s="238" t="s"/>
      <c r="D176" s="238" t="s"/>
      <c r="E176" s="238" t="s"/>
      <c r="F176" s="238" t="s"/>
      <c r="G176" s="238" t="s"/>
      <c r="H176" s="238" t="s"/>
      <c r="I176" s="238" t="s"/>
      <c r="J176" s="238" t="s"/>
      <c r="K176" s="238" t="s"/>
      <c r="L176" s="238" t="s"/>
      <c r="M176" s="238" t="s"/>
      <c r="N176" s="238" t="s"/>
      <c r="O176" s="238" t="s"/>
      <c r="P176" s="238" t="s"/>
      <c r="Q176" s="238" t="s"/>
      <c r="R176" s="239" t="s"/>
      <c r="S176" s="238" t="s"/>
      <c r="T176" s="238" t="s"/>
      <c r="U176" s="238" t="s"/>
      <c r="V176" s="238" t="s"/>
      <c r="W176" s="238" t="s"/>
      <c r="X176" s="240" t="s"/>
    </row>
    <row r="177" spans="1:24">
      <c r="A177" s="240" t="s"/>
      <c r="B177" s="238" t="s"/>
      <c r="C177" s="238" t="s"/>
      <c r="D177" s="238" t="s"/>
      <c r="E177" s="238" t="s"/>
      <c r="F177" s="238" t="s"/>
      <c r="G177" s="238" t="s"/>
      <c r="H177" s="238" t="s"/>
      <c r="I177" s="238" t="s"/>
      <c r="J177" s="238" t="s"/>
      <c r="K177" s="238" t="s"/>
      <c r="L177" s="238" t="s"/>
      <c r="M177" s="238" t="s"/>
      <c r="N177" s="238" t="s"/>
      <c r="O177" s="238" t="s"/>
      <c r="P177" s="238" t="s"/>
      <c r="Q177" s="238" t="s"/>
      <c r="R177" s="239" t="s"/>
      <c r="S177" s="238" t="s"/>
      <c r="T177" s="238" t="s"/>
      <c r="U177" s="238" t="s"/>
      <c r="V177" s="238" t="s"/>
      <c r="W177" s="238" t="s"/>
      <c r="X177" s="240" t="s"/>
    </row>
    <row r="178" spans="1:24">
      <c r="A178" s="240" t="s"/>
      <c r="B178" s="238" t="s"/>
      <c r="C178" s="238" t="s"/>
      <c r="D178" s="238" t="s"/>
      <c r="E178" s="238" t="s"/>
      <c r="F178" s="238" t="s"/>
      <c r="G178" s="238" t="s"/>
      <c r="H178" s="238" t="s"/>
      <c r="I178" s="238" t="s"/>
      <c r="J178" s="238" t="s"/>
      <c r="K178" s="238" t="s"/>
      <c r="L178" s="238" t="s"/>
      <c r="M178" s="238" t="s"/>
      <c r="N178" s="238" t="s"/>
      <c r="O178" s="238" t="s"/>
      <c r="P178" s="238" t="s"/>
      <c r="Q178" s="238" t="s"/>
      <c r="R178" s="239" t="s"/>
      <c r="S178" s="238" t="s"/>
      <c r="T178" s="238" t="s"/>
      <c r="U178" s="238" t="s"/>
      <c r="V178" s="238" t="s"/>
      <c r="W178" s="238" t="s"/>
      <c r="X178" s="240" t="s"/>
    </row>
    <row r="179" spans="1:24">
      <c r="A179" s="240" t="s"/>
      <c r="B179" s="238" t="s"/>
      <c r="C179" s="238" t="s"/>
      <c r="D179" s="238" t="s"/>
      <c r="E179" s="238" t="s"/>
      <c r="F179" s="238" t="s"/>
      <c r="G179" s="238" t="s"/>
      <c r="H179" s="238" t="s"/>
      <c r="I179" s="238" t="s"/>
      <c r="J179" s="238" t="s"/>
      <c r="K179" s="238" t="s"/>
      <c r="L179" s="238" t="s"/>
      <c r="M179" s="238" t="s"/>
      <c r="N179" s="238" t="s"/>
      <c r="O179" s="238" t="s"/>
      <c r="P179" s="238" t="s"/>
      <c r="Q179" s="238" t="s"/>
      <c r="R179" s="239" t="s"/>
      <c r="S179" s="238" t="s"/>
      <c r="T179" s="238" t="s"/>
      <c r="U179" s="238" t="s"/>
      <c r="V179" s="238" t="s"/>
      <c r="W179" s="238" t="s"/>
      <c r="X179" s="240" t="s"/>
    </row>
    <row r="180" spans="1:24">
      <c r="A180" s="240" t="s"/>
      <c r="B180" s="238" t="s"/>
      <c r="C180" s="238" t="s"/>
      <c r="D180" s="238" t="s"/>
      <c r="E180" s="238" t="s"/>
      <c r="F180" s="238" t="s"/>
      <c r="G180" s="238" t="s"/>
      <c r="H180" s="238" t="s"/>
      <c r="I180" s="238" t="s"/>
      <c r="J180" s="238" t="s"/>
      <c r="K180" s="238" t="s"/>
      <c r="L180" s="238" t="s"/>
      <c r="M180" s="238" t="s"/>
      <c r="N180" s="238" t="s"/>
      <c r="O180" s="238" t="s"/>
      <c r="P180" s="238" t="s"/>
      <c r="Q180" s="238" t="s"/>
      <c r="R180" s="239" t="s"/>
      <c r="S180" s="238" t="s"/>
      <c r="T180" s="238" t="s"/>
      <c r="U180" s="238" t="s"/>
      <c r="V180" s="238" t="s"/>
      <c r="W180" s="238" t="s"/>
      <c r="X180" s="240" t="s"/>
    </row>
    <row r="181" spans="1:24">
      <c r="A181" s="240" t="s"/>
      <c r="B181" s="238" t="s"/>
      <c r="C181" s="238" t="s"/>
      <c r="D181" s="238" t="s"/>
      <c r="E181" s="238" t="s"/>
      <c r="F181" s="238" t="s"/>
      <c r="G181" s="238" t="s"/>
      <c r="H181" s="238" t="s"/>
      <c r="I181" s="238" t="s"/>
      <c r="J181" s="238" t="s"/>
      <c r="K181" s="238" t="s"/>
      <c r="L181" s="238" t="s"/>
      <c r="M181" s="238" t="s"/>
      <c r="N181" s="238" t="s"/>
      <c r="O181" s="238" t="s"/>
      <c r="P181" s="238" t="s"/>
      <c r="Q181" s="238" t="s"/>
      <c r="R181" s="239" t="s"/>
      <c r="S181" s="238" t="s"/>
      <c r="T181" s="238" t="s"/>
      <c r="U181" s="238" t="s"/>
      <c r="V181" s="238" t="s"/>
      <c r="W181" s="238" t="s"/>
      <c r="X181" s="240" t="s"/>
    </row>
    <row r="182" spans="1:24">
      <c r="A182" s="240" t="s"/>
      <c r="B182" s="238" t="s"/>
      <c r="C182" s="238" t="s"/>
      <c r="D182" s="238" t="s"/>
      <c r="E182" s="238" t="s"/>
      <c r="F182" s="238" t="s"/>
      <c r="G182" s="238" t="s"/>
      <c r="H182" s="238" t="s"/>
      <c r="I182" s="238" t="s"/>
      <c r="J182" s="238" t="s"/>
      <c r="K182" s="238" t="s"/>
      <c r="L182" s="238" t="s"/>
      <c r="M182" s="238" t="s"/>
      <c r="N182" s="238" t="s"/>
      <c r="O182" s="238" t="s"/>
      <c r="P182" s="238" t="s"/>
      <c r="Q182" s="238" t="s"/>
      <c r="R182" s="239" t="s"/>
      <c r="S182" s="238" t="s"/>
      <c r="T182" s="238" t="s"/>
      <c r="U182" s="238" t="s"/>
      <c r="V182" s="238" t="s"/>
      <c r="W182" s="238" t="s"/>
      <c r="X182" s="240" t="s"/>
    </row>
    <row r="183" spans="1:24">
      <c r="A183" s="240" t="s"/>
      <c r="B183" s="238" t="s"/>
      <c r="C183" s="238" t="s"/>
      <c r="D183" s="238" t="s"/>
      <c r="E183" s="238" t="s"/>
      <c r="F183" s="238" t="s"/>
      <c r="G183" s="238" t="s"/>
      <c r="H183" s="238" t="s"/>
      <c r="I183" s="238" t="s"/>
      <c r="J183" s="238" t="s"/>
      <c r="K183" s="238" t="s"/>
      <c r="L183" s="238" t="s"/>
      <c r="M183" s="238" t="s"/>
      <c r="N183" s="238" t="s"/>
      <c r="O183" s="238" t="s"/>
      <c r="P183" s="238" t="s"/>
      <c r="Q183" s="238" t="s"/>
      <c r="R183" s="239" t="s"/>
      <c r="S183" s="238" t="s"/>
      <c r="T183" s="238" t="s"/>
      <c r="U183" s="238" t="s"/>
      <c r="V183" s="238" t="s"/>
      <c r="W183" s="238" t="s"/>
      <c r="X183" s="240" t="s"/>
    </row>
    <row r="184" spans="1:24">
      <c r="A184" s="240" t="s"/>
      <c r="B184" s="238" t="s"/>
      <c r="C184" s="238" t="s"/>
      <c r="D184" s="238" t="s"/>
      <c r="E184" s="238" t="s"/>
      <c r="F184" s="238" t="s"/>
      <c r="G184" s="238" t="s"/>
      <c r="H184" s="238" t="s"/>
      <c r="I184" s="238" t="s"/>
      <c r="J184" s="238" t="s"/>
      <c r="K184" s="238" t="s"/>
      <c r="L184" s="238" t="s"/>
      <c r="M184" s="238" t="s"/>
      <c r="N184" s="238" t="s"/>
      <c r="O184" s="238" t="s"/>
      <c r="P184" s="238" t="s"/>
      <c r="Q184" s="238" t="s"/>
      <c r="R184" s="239" t="s"/>
      <c r="S184" s="238" t="s"/>
      <c r="T184" s="238" t="s"/>
      <c r="U184" s="238" t="s"/>
      <c r="V184" s="238" t="s"/>
      <c r="W184" s="238" t="s"/>
      <c r="X184" s="240" t="s"/>
    </row>
    <row r="185" spans="1:24">
      <c r="A185" s="240" t="s"/>
      <c r="B185" s="238" t="s"/>
      <c r="C185" s="238" t="s"/>
      <c r="D185" s="238" t="s"/>
      <c r="E185" s="238" t="s"/>
      <c r="F185" s="238" t="s"/>
      <c r="G185" s="238" t="s"/>
      <c r="H185" s="238" t="s"/>
      <c r="I185" s="238" t="s"/>
      <c r="J185" s="238" t="s"/>
      <c r="K185" s="238" t="s"/>
      <c r="L185" s="238" t="s"/>
      <c r="M185" s="238" t="s"/>
      <c r="N185" s="238" t="s"/>
      <c r="O185" s="238" t="s"/>
      <c r="P185" s="238" t="s"/>
      <c r="Q185" s="238" t="s"/>
      <c r="R185" s="239" t="s"/>
      <c r="S185" s="238" t="s"/>
      <c r="T185" s="238" t="s"/>
      <c r="U185" s="238" t="s"/>
      <c r="V185" s="238" t="s"/>
      <c r="W185" s="238" t="s"/>
      <c r="X185" s="240" t="s"/>
    </row>
    <row r="186" spans="1:24">
      <c r="A186" s="240" t="s"/>
      <c r="B186" s="238" t="s"/>
      <c r="C186" s="238" t="s"/>
      <c r="D186" s="238" t="s"/>
      <c r="E186" s="238" t="s"/>
      <c r="F186" s="238" t="s"/>
      <c r="G186" s="238" t="s"/>
      <c r="H186" s="238" t="s"/>
      <c r="I186" s="238" t="s"/>
      <c r="J186" s="238" t="s"/>
      <c r="K186" s="238" t="s"/>
      <c r="L186" s="238" t="s"/>
      <c r="M186" s="238" t="s"/>
      <c r="N186" s="238" t="s"/>
      <c r="O186" s="238" t="s"/>
      <c r="P186" s="238" t="s"/>
      <c r="Q186" s="238" t="s"/>
      <c r="R186" s="239" t="s"/>
      <c r="S186" s="238" t="s"/>
      <c r="T186" s="238" t="s"/>
      <c r="U186" s="238" t="s"/>
      <c r="V186" s="238" t="s"/>
      <c r="W186" s="238" t="s"/>
      <c r="X186" s="240" t="s"/>
    </row>
    <row r="187" spans="1:24">
      <c r="A187" s="240" t="s"/>
      <c r="B187" s="238" t="s"/>
      <c r="C187" s="238" t="s"/>
      <c r="D187" s="238" t="s"/>
      <c r="E187" s="238" t="s"/>
      <c r="F187" s="238" t="s"/>
      <c r="G187" s="238" t="s"/>
      <c r="H187" s="238" t="s"/>
      <c r="I187" s="238" t="s"/>
      <c r="J187" s="238" t="s"/>
      <c r="K187" s="238" t="s"/>
      <c r="L187" s="238" t="s"/>
      <c r="M187" s="238" t="s"/>
      <c r="N187" s="238" t="s"/>
      <c r="O187" s="238" t="s"/>
      <c r="P187" s="238" t="s"/>
      <c r="Q187" s="238" t="s"/>
      <c r="R187" s="239" t="s"/>
      <c r="S187" s="238" t="s"/>
      <c r="T187" s="238" t="s"/>
      <c r="U187" s="238" t="s"/>
      <c r="V187" s="238" t="s"/>
      <c r="W187" s="238" t="s"/>
      <c r="X187" s="240" t="s"/>
    </row>
    <row r="188" spans="1:24">
      <c r="A188" s="240" t="s"/>
      <c r="B188" s="238" t="s"/>
      <c r="C188" s="238" t="s"/>
      <c r="D188" s="238" t="s"/>
      <c r="E188" s="238" t="s"/>
      <c r="F188" s="238" t="s"/>
      <c r="G188" s="238" t="s"/>
      <c r="H188" s="238" t="s"/>
      <c r="I188" s="238" t="s"/>
      <c r="J188" s="238" t="s"/>
      <c r="K188" s="238" t="s"/>
      <c r="L188" s="238" t="s"/>
      <c r="M188" s="238" t="s"/>
      <c r="N188" s="238" t="s"/>
      <c r="O188" s="238" t="s"/>
      <c r="P188" s="238" t="s"/>
      <c r="Q188" s="238" t="s"/>
      <c r="R188" s="239" t="s"/>
      <c r="S188" s="238" t="s"/>
      <c r="T188" s="238" t="s"/>
      <c r="U188" s="238" t="s"/>
      <c r="V188" s="238" t="s"/>
      <c r="W188" s="238" t="s"/>
      <c r="X188" s="240" t="s"/>
    </row>
    <row r="189" spans="1:24">
      <c r="A189" s="240" t="s"/>
      <c r="B189" s="238" t="s"/>
      <c r="C189" s="238" t="s"/>
      <c r="D189" s="238" t="s"/>
      <c r="E189" s="238" t="s"/>
      <c r="F189" s="238" t="s"/>
      <c r="G189" s="238" t="s"/>
      <c r="H189" s="238" t="s"/>
      <c r="I189" s="238" t="s"/>
      <c r="J189" s="238" t="s"/>
      <c r="K189" s="238" t="s"/>
      <c r="L189" s="238" t="s"/>
      <c r="M189" s="238" t="s"/>
      <c r="N189" s="238" t="s"/>
      <c r="O189" s="238" t="s"/>
      <c r="P189" s="238" t="s"/>
      <c r="Q189" s="238" t="s"/>
      <c r="R189" s="239" t="s"/>
      <c r="S189" s="238" t="s"/>
      <c r="T189" s="238" t="s"/>
      <c r="U189" s="238" t="s"/>
      <c r="V189" s="238" t="s"/>
      <c r="W189" s="238" t="s"/>
      <c r="X189" s="240" t="s"/>
    </row>
    <row r="190" spans="1:24">
      <c r="A190" s="240" t="s"/>
      <c r="B190" s="238" t="s"/>
      <c r="C190" s="238" t="s"/>
      <c r="D190" s="238" t="s"/>
      <c r="E190" s="238" t="s"/>
      <c r="F190" s="238" t="s"/>
      <c r="G190" s="238" t="s"/>
      <c r="H190" s="238" t="s"/>
      <c r="I190" s="238" t="s"/>
      <c r="J190" s="238" t="s"/>
      <c r="K190" s="238" t="s"/>
      <c r="L190" s="238" t="s"/>
      <c r="M190" s="238" t="s"/>
      <c r="N190" s="238" t="s"/>
      <c r="O190" s="238" t="s"/>
      <c r="P190" s="238" t="s"/>
      <c r="Q190" s="238" t="s"/>
      <c r="R190" s="239" t="s"/>
      <c r="S190" s="238" t="s"/>
      <c r="T190" s="238" t="s"/>
      <c r="U190" s="238" t="s"/>
      <c r="V190" s="238" t="s"/>
      <c r="W190" s="238" t="s"/>
      <c r="X190" s="240" t="s"/>
    </row>
    <row r="191" spans="1:24">
      <c r="A191" s="240" t="s"/>
      <c r="B191" s="238" t="s"/>
      <c r="C191" s="238" t="s"/>
      <c r="D191" s="238" t="s"/>
      <c r="E191" s="238" t="s"/>
      <c r="F191" s="238" t="s"/>
      <c r="G191" s="238" t="s"/>
      <c r="H191" s="238" t="s"/>
      <c r="I191" s="238" t="s"/>
      <c r="J191" s="238" t="s"/>
      <c r="K191" s="238" t="s"/>
      <c r="L191" s="238" t="s"/>
      <c r="M191" s="238" t="s"/>
      <c r="N191" s="238" t="s"/>
      <c r="O191" s="238" t="s"/>
      <c r="P191" s="238" t="s"/>
      <c r="Q191" s="238" t="s"/>
      <c r="R191" s="239" t="s"/>
      <c r="S191" s="238" t="s"/>
      <c r="T191" s="238" t="s"/>
      <c r="U191" s="238" t="s"/>
      <c r="V191" s="238" t="s"/>
      <c r="W191" s="238" t="s"/>
      <c r="X191" s="240" t="s"/>
    </row>
    <row r="192" spans="1:24">
      <c r="A192" s="240" t="s"/>
      <c r="B192" s="238" t="s"/>
      <c r="C192" s="238" t="s"/>
      <c r="D192" s="238" t="s"/>
      <c r="E192" s="238" t="s"/>
      <c r="F192" s="238" t="s"/>
      <c r="G192" s="238" t="s"/>
      <c r="H192" s="238" t="s"/>
      <c r="I192" s="238" t="s"/>
      <c r="J192" s="238" t="s"/>
      <c r="K192" s="238" t="s"/>
      <c r="L192" s="238" t="s"/>
      <c r="M192" s="238" t="s"/>
      <c r="N192" s="238" t="s"/>
      <c r="O192" s="238" t="s"/>
      <c r="P192" s="238" t="s"/>
      <c r="Q192" s="238" t="s"/>
      <c r="R192" s="239" t="s"/>
      <c r="S192" s="238" t="s"/>
      <c r="T192" s="238" t="s"/>
      <c r="U192" s="238" t="s"/>
      <c r="V192" s="238" t="s"/>
      <c r="W192" s="238" t="s"/>
      <c r="X192" s="240" t="s"/>
    </row>
    <row r="193" spans="1:24">
      <c r="A193" s="240" t="s"/>
      <c r="B193" s="238" t="s"/>
      <c r="C193" s="238" t="s"/>
      <c r="D193" s="238" t="s"/>
      <c r="E193" s="238" t="s"/>
      <c r="F193" s="238" t="s"/>
      <c r="G193" s="238" t="s"/>
      <c r="H193" s="238" t="s"/>
      <c r="I193" s="238" t="s"/>
      <c r="J193" s="238" t="s"/>
      <c r="K193" s="238" t="s"/>
      <c r="L193" s="238" t="s"/>
      <c r="M193" s="238" t="s"/>
      <c r="N193" s="238" t="s"/>
      <c r="O193" s="238" t="s"/>
      <c r="P193" s="238" t="s"/>
      <c r="Q193" s="238" t="s"/>
      <c r="R193" s="239" t="s"/>
      <c r="S193" s="238" t="s"/>
      <c r="T193" s="238" t="s"/>
      <c r="U193" s="238" t="s"/>
      <c r="V193" s="238" t="s"/>
      <c r="W193" s="238" t="s"/>
      <c r="X193" s="240" t="s"/>
    </row>
    <row r="194" spans="1:24">
      <c r="A194" s="240" t="s"/>
      <c r="B194" s="238" t="s"/>
      <c r="C194" s="238" t="s"/>
      <c r="D194" s="238" t="s"/>
      <c r="E194" s="238" t="s"/>
      <c r="F194" s="238" t="s"/>
      <c r="G194" s="238" t="s"/>
      <c r="H194" s="238" t="s"/>
      <c r="I194" s="238" t="s"/>
      <c r="J194" s="238" t="s"/>
      <c r="K194" s="238" t="s"/>
      <c r="L194" s="238" t="s"/>
      <c r="M194" s="238" t="s"/>
      <c r="N194" s="238" t="s"/>
      <c r="O194" s="238" t="s"/>
      <c r="P194" s="238" t="s"/>
      <c r="Q194" s="238" t="s"/>
      <c r="R194" s="239" t="s"/>
      <c r="S194" s="238" t="s"/>
      <c r="T194" s="238" t="s"/>
      <c r="U194" s="238" t="s"/>
      <c r="V194" s="238" t="s"/>
      <c r="W194" s="238" t="s"/>
      <c r="X194" s="240" t="s"/>
    </row>
    <row r="195" spans="1:24">
      <c r="A195" s="240" t="s"/>
      <c r="B195" s="238" t="s"/>
      <c r="C195" s="238" t="s"/>
      <c r="D195" s="238" t="s"/>
      <c r="E195" s="238" t="s"/>
      <c r="F195" s="238" t="s"/>
      <c r="G195" s="238" t="s"/>
      <c r="H195" s="238" t="s"/>
      <c r="I195" s="238" t="s"/>
      <c r="J195" s="238" t="s"/>
      <c r="K195" s="238" t="s"/>
      <c r="L195" s="238" t="s"/>
      <c r="M195" s="238" t="s"/>
      <c r="N195" s="238" t="s"/>
      <c r="O195" s="238" t="s"/>
      <c r="P195" s="238" t="s"/>
      <c r="Q195" s="238" t="s"/>
      <c r="R195" s="239" t="s"/>
      <c r="S195" s="238" t="s"/>
      <c r="T195" s="238" t="s"/>
      <c r="U195" s="238" t="s"/>
      <c r="V195" s="238" t="s"/>
      <c r="W195" s="238" t="s"/>
      <c r="X195" s="240" t="s"/>
    </row>
    <row r="196" spans="1:24">
      <c r="A196" s="240" t="s"/>
      <c r="B196" s="238" t="s"/>
      <c r="C196" s="238" t="s"/>
      <c r="D196" s="238" t="s"/>
      <c r="E196" s="238" t="s"/>
      <c r="F196" s="238" t="s"/>
      <c r="G196" s="238" t="s"/>
      <c r="H196" s="238" t="s"/>
      <c r="I196" s="238" t="s"/>
      <c r="J196" s="238" t="s"/>
      <c r="K196" s="238" t="s"/>
      <c r="L196" s="238" t="s"/>
      <c r="M196" s="238" t="s"/>
      <c r="N196" s="238" t="s"/>
      <c r="O196" s="238" t="s"/>
      <c r="P196" s="238" t="s"/>
      <c r="Q196" s="238" t="s"/>
      <c r="R196" s="239" t="s"/>
      <c r="S196" s="238" t="s"/>
      <c r="T196" s="238" t="s"/>
      <c r="U196" s="238" t="s"/>
      <c r="V196" s="238" t="s"/>
      <c r="W196" s="238" t="s"/>
      <c r="X196" s="240" t="s"/>
    </row>
    <row r="197" spans="1:24">
      <c r="A197" s="240" t="s"/>
      <c r="B197" s="238" t="s"/>
      <c r="C197" s="238" t="s"/>
      <c r="D197" s="238" t="s"/>
      <c r="E197" s="238" t="s"/>
      <c r="F197" s="238" t="s"/>
      <c r="G197" s="238" t="s"/>
      <c r="H197" s="238" t="s"/>
      <c r="I197" s="238" t="s"/>
      <c r="J197" s="238" t="s"/>
      <c r="K197" s="238" t="s"/>
      <c r="L197" s="238" t="s"/>
      <c r="M197" s="238" t="s"/>
      <c r="N197" s="238" t="s"/>
      <c r="O197" s="238" t="s"/>
      <c r="P197" s="238" t="s"/>
      <c r="Q197" s="238" t="s"/>
      <c r="R197" s="239" t="s"/>
      <c r="S197" s="238" t="s"/>
      <c r="T197" s="238" t="s"/>
      <c r="U197" s="238" t="s"/>
      <c r="V197" s="238" t="s"/>
      <c r="W197" s="238" t="s"/>
      <c r="X197" s="240" t="s"/>
    </row>
    <row r="198" spans="1:24">
      <c r="A198" s="240" t="s"/>
      <c r="B198" s="238" t="s"/>
      <c r="C198" s="238" t="s"/>
      <c r="D198" s="238" t="s"/>
      <c r="E198" s="238" t="s"/>
      <c r="F198" s="238" t="s"/>
      <c r="G198" s="238" t="s"/>
      <c r="H198" s="238" t="s"/>
      <c r="I198" s="238" t="s"/>
      <c r="J198" s="238" t="s"/>
      <c r="K198" s="238" t="s"/>
      <c r="L198" s="238" t="s"/>
      <c r="M198" s="238" t="s"/>
      <c r="N198" s="238" t="s"/>
      <c r="O198" s="238" t="s"/>
      <c r="P198" s="238" t="s"/>
      <c r="Q198" s="238" t="s"/>
      <c r="R198" s="239" t="s"/>
      <c r="S198" s="238" t="s"/>
      <c r="T198" s="238" t="s"/>
      <c r="U198" s="238" t="s"/>
      <c r="V198" s="238" t="s"/>
      <c r="W198" s="238" t="s"/>
      <c r="X198" s="240" t="s"/>
    </row>
    <row r="199" spans="1:24">
      <c r="A199" s="240" t="s"/>
      <c r="B199" s="238" t="s"/>
      <c r="C199" s="238" t="s"/>
      <c r="D199" s="238" t="s"/>
      <c r="E199" s="238" t="s"/>
      <c r="F199" s="238" t="s"/>
      <c r="G199" s="238" t="s"/>
      <c r="H199" s="238" t="s"/>
      <c r="I199" s="238" t="s"/>
      <c r="J199" s="238" t="s"/>
      <c r="K199" s="238" t="s"/>
      <c r="L199" s="238" t="s"/>
      <c r="M199" s="238" t="s"/>
      <c r="N199" s="238" t="s"/>
      <c r="O199" s="238" t="s"/>
      <c r="P199" s="238" t="s"/>
      <c r="Q199" s="238" t="s"/>
      <c r="R199" s="239" t="s"/>
      <c r="S199" s="238" t="s"/>
      <c r="T199" s="238" t="s"/>
      <c r="U199" s="238" t="s"/>
      <c r="V199" s="238" t="s"/>
      <c r="W199" s="238" t="s"/>
      <c r="X199" s="240" t="s"/>
    </row>
    <row r="200" spans="1:24">
      <c r="A200" s="240" t="s"/>
      <c r="B200" s="238" t="s"/>
      <c r="C200" s="238" t="s"/>
      <c r="D200" s="238" t="s"/>
      <c r="E200" s="238" t="s"/>
      <c r="F200" s="238" t="s"/>
      <c r="G200" s="238" t="s"/>
      <c r="H200" s="238" t="s"/>
      <c r="I200" s="238" t="s"/>
      <c r="J200" s="238" t="s"/>
      <c r="K200" s="238" t="s"/>
      <c r="L200" s="238" t="s"/>
      <c r="M200" s="238" t="s"/>
      <c r="N200" s="238" t="s"/>
      <c r="O200" s="238" t="s"/>
      <c r="P200" s="238" t="s"/>
      <c r="Q200" s="238" t="s"/>
      <c r="R200" s="239" t="s"/>
      <c r="S200" s="238" t="s"/>
      <c r="T200" s="238" t="s"/>
      <c r="U200" s="238" t="s"/>
      <c r="V200" s="238" t="s"/>
      <c r="W200" s="238" t="s"/>
      <c r="X200" s="240" t="s"/>
    </row>
  </sheetData>
  <mergeCells count="93">
    <mergeCell ref="D2:W2"/>
    <mergeCell ref="D4:I4"/>
    <mergeCell ref="K4:M4"/>
    <mergeCell ref="Q4:W4"/>
    <mergeCell ref="D6:E6"/>
    <mergeCell ref="F6:I6"/>
    <mergeCell ref="K8:M8"/>
    <mergeCell ref="K10:M10"/>
    <mergeCell ref="K12:M12"/>
    <mergeCell ref="K14:M14"/>
    <mergeCell ref="K16:M16"/>
    <mergeCell ref="K18:M18"/>
    <mergeCell ref="K20:M20"/>
    <mergeCell ref="K22:M22"/>
    <mergeCell ref="K24:M24"/>
    <mergeCell ref="K26:M26"/>
    <mergeCell ref="K28:M28"/>
    <mergeCell ref="K30:M30"/>
    <mergeCell ref="K32:M32"/>
    <mergeCell ref="D36:I36"/>
    <mergeCell ref="K36:M36"/>
    <mergeCell ref="Q36:W36"/>
    <mergeCell ref="K39:M39"/>
    <mergeCell ref="K41:M41"/>
    <mergeCell ref="K43:M43"/>
    <mergeCell ref="K45:M45"/>
    <mergeCell ref="K47:M47"/>
    <mergeCell ref="K49:M49"/>
    <mergeCell ref="K51:M51"/>
    <mergeCell ref="K53:M53"/>
    <mergeCell ref="K55:M55"/>
    <mergeCell ref="K57:M57"/>
    <mergeCell ref="K59:M59"/>
    <mergeCell ref="K61:M61"/>
    <mergeCell ref="K63:M63"/>
    <mergeCell ref="D65:W65"/>
    <mergeCell ref="D67:I67"/>
    <mergeCell ref="K67:M67"/>
    <mergeCell ref="Q67:W67"/>
    <mergeCell ref="K70:M70"/>
    <mergeCell ref="K72:M72"/>
    <mergeCell ref="K74:M74"/>
    <mergeCell ref="K76:M76"/>
    <mergeCell ref="D79:W79"/>
    <mergeCell ref="D81:G81"/>
    <mergeCell ref="H81:K81"/>
    <mergeCell ref="L81:O81"/>
    <mergeCell ref="P81:R81"/>
    <mergeCell ref="S81:T81"/>
    <mergeCell ref="U81:W81"/>
    <mergeCell ref="D82:G82"/>
    <mergeCell ref="H82:K82"/>
    <mergeCell ref="L82:O82"/>
    <mergeCell ref="P82:R82"/>
    <mergeCell ref="S82:T82"/>
    <mergeCell ref="U82:W82"/>
    <mergeCell ref="D83:G83"/>
    <mergeCell ref="H83:K83"/>
    <mergeCell ref="L83:O83"/>
    <mergeCell ref="P83:R83"/>
    <mergeCell ref="S83:T83"/>
    <mergeCell ref="U83:W83"/>
    <mergeCell ref="D84:G84"/>
    <mergeCell ref="H84:K84"/>
    <mergeCell ref="L84:O84"/>
    <mergeCell ref="P84:R84"/>
    <mergeCell ref="S84:T84"/>
    <mergeCell ref="U84:W84"/>
    <mergeCell ref="D85:G85"/>
    <mergeCell ref="H85:K85"/>
    <mergeCell ref="L85:O85"/>
    <mergeCell ref="P85:R85"/>
    <mergeCell ref="S85:T85"/>
    <mergeCell ref="U85:W85"/>
    <mergeCell ref="D86:G86"/>
    <mergeCell ref="H86:K86"/>
    <mergeCell ref="L86:O86"/>
    <mergeCell ref="P86:R86"/>
    <mergeCell ref="S86:T86"/>
    <mergeCell ref="U86:W86"/>
    <mergeCell ref="D87:G87"/>
    <mergeCell ref="H87:K87"/>
    <mergeCell ref="L87:O87"/>
    <mergeCell ref="P87:R87"/>
    <mergeCell ref="S87:T87"/>
    <mergeCell ref="U87:W87"/>
    <mergeCell ref="D88:G88"/>
    <mergeCell ref="H88:K88"/>
    <mergeCell ref="L88:O88"/>
    <mergeCell ref="P88:R88"/>
    <mergeCell ref="S88:T88"/>
    <mergeCell ref="U88:W88"/>
    <mergeCell ref="D34:W34"/>
  </mergeCells>
  <drawing r:id="rId0"/>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2026-05-12T15:45:07Z</dcterms:created>
  <dcterms:modified xsi:type="dcterms:W3CDTF">2026-05-12T15:45:07Z</dcterms:modified>
</cp:coreProperties>
</file>